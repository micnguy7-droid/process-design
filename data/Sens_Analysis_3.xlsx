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262872d75759d81f/Desktop/R2O2_April_Gitlinked_2024/Space_resources_LEIA/data/"/>
    </mc:Choice>
  </mc:AlternateContent>
  <xr:revisionPtr revIDLastSave="32" documentId="11_73BD778E5B205D446B3A3411595ED87656CCAC44" xr6:coauthVersionLast="47" xr6:coauthVersionMax="47" xr10:uidLastSave="{E0D97EA6-C46A-40EF-A46E-91F06B155E3E}"/>
  <bookViews>
    <workbookView xWindow="5910" yWindow="1365" windowWidth="2160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2" i="1" l="1"/>
  <c r="BL2" i="1"/>
  <c r="BH3" i="1"/>
  <c r="BH4" i="1"/>
  <c r="BH5" i="1"/>
  <c r="BL5" i="1" s="1"/>
  <c r="BH6" i="1"/>
  <c r="BH7" i="1"/>
  <c r="BH8" i="1"/>
  <c r="BH9" i="1"/>
  <c r="BH10" i="1"/>
  <c r="BH11" i="1"/>
  <c r="BH12" i="1"/>
  <c r="BH13" i="1"/>
  <c r="BH14" i="1"/>
  <c r="BL14" i="1" s="1"/>
  <c r="BH15" i="1"/>
  <c r="BL15" i="1" s="1"/>
  <c r="BH16" i="1"/>
  <c r="BL16" i="1" s="1"/>
  <c r="BH17" i="1"/>
  <c r="BL17" i="1" s="1"/>
  <c r="BH18" i="1"/>
  <c r="BL18" i="1" s="1"/>
  <c r="BH19" i="1"/>
  <c r="BH20" i="1"/>
  <c r="BH21" i="1"/>
  <c r="BH22" i="1"/>
  <c r="BH23" i="1"/>
  <c r="BL3" i="1"/>
  <c r="BL4" i="1"/>
  <c r="BL6" i="1"/>
  <c r="BL7" i="1"/>
  <c r="BL8" i="1"/>
  <c r="BL9" i="1"/>
  <c r="BL10" i="1"/>
  <c r="BL11" i="1"/>
  <c r="BL12" i="1"/>
  <c r="BL13" i="1"/>
  <c r="BL19" i="1"/>
  <c r="BL20" i="1"/>
  <c r="BL21" i="1"/>
  <c r="BL22" i="1"/>
  <c r="BL23" i="1"/>
  <c r="BG2" i="1"/>
  <c r="BG3" i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</calcChain>
</file>

<file path=xl/sharedStrings.xml><?xml version="1.0" encoding="utf-8"?>
<sst xmlns="http://schemas.openxmlformats.org/spreadsheetml/2006/main" count="80" uniqueCount="80">
  <si>
    <t>Parameter</t>
  </si>
  <si>
    <t>Low Value</t>
  </si>
  <si>
    <t>Mid Value</t>
  </si>
  <si>
    <t>High Value</t>
  </si>
  <si>
    <t>Model Results (low)</t>
  </si>
  <si>
    <t>Model Results (high)</t>
  </si>
  <si>
    <t>Output Range</t>
  </si>
  <si>
    <t>PVI_1</t>
  </si>
  <si>
    <t>PVI_2</t>
  </si>
  <si>
    <t>PVI_3</t>
  </si>
  <si>
    <t>PVI_4</t>
  </si>
  <si>
    <t>PVI_5</t>
  </si>
  <si>
    <t>PVI_6</t>
  </si>
  <si>
    <t>PVI_7</t>
  </si>
  <si>
    <t>PVI_8</t>
  </si>
  <si>
    <t>PVI_9</t>
  </si>
  <si>
    <t>PVI_10</t>
  </si>
  <si>
    <t>PVI_11</t>
  </si>
  <si>
    <t>PVI_12</t>
  </si>
  <si>
    <t>PVI_13</t>
  </si>
  <si>
    <t>PVI_14</t>
  </si>
  <si>
    <t>PVI_15</t>
  </si>
  <si>
    <t>PVI_16</t>
  </si>
  <si>
    <t>PVI_17</t>
  </si>
  <si>
    <t>PCM_1</t>
  </si>
  <si>
    <t>PCM_2</t>
  </si>
  <si>
    <t>PCM_3</t>
  </si>
  <si>
    <t>PCM_4</t>
  </si>
  <si>
    <t>PCM_5</t>
  </si>
  <si>
    <t>PCM_6</t>
  </si>
  <si>
    <t>PCM_7</t>
  </si>
  <si>
    <t>PCM_8</t>
  </si>
  <si>
    <t>PCM_9</t>
  </si>
  <si>
    <t>PCM_10</t>
  </si>
  <si>
    <t>PCM_11</t>
  </si>
  <si>
    <t>PCM_12</t>
  </si>
  <si>
    <t>PCM_13</t>
  </si>
  <si>
    <t>PCM_14</t>
  </si>
  <si>
    <t>PCM_15</t>
  </si>
  <si>
    <t>PCM_16</t>
  </si>
  <si>
    <t>PCM_17</t>
  </si>
  <si>
    <t>MRL_1</t>
  </si>
  <si>
    <t>MRL_2</t>
  </si>
  <si>
    <t>MRL_3</t>
  </si>
  <si>
    <t>MRL_4</t>
  </si>
  <si>
    <t>MRL_5</t>
  </si>
  <si>
    <t>MRL_6</t>
  </si>
  <si>
    <t>MRL_7</t>
  </si>
  <si>
    <t>MRL_8</t>
  </si>
  <si>
    <t>MRL_9</t>
  </si>
  <si>
    <t>MRL_10</t>
  </si>
  <si>
    <t>MRL_11</t>
  </si>
  <si>
    <t>MRL_12</t>
  </si>
  <si>
    <t>MRL_13</t>
  </si>
  <si>
    <t>MRL_14</t>
  </si>
  <si>
    <t>MRL_15</t>
  </si>
  <si>
    <t>MRL_16</t>
  </si>
  <si>
    <t>MRL_17</t>
  </si>
  <si>
    <t>cohCoeff</t>
  </si>
  <si>
    <t>intAngle</t>
  </si>
  <si>
    <t>extAngle</t>
  </si>
  <si>
    <t>enrichment_factor</t>
  </si>
  <si>
    <t>benef_ilmenite_recovery</t>
  </si>
  <si>
    <t>motor_efficiency</t>
  </si>
  <si>
    <t>mRover</t>
  </si>
  <si>
    <t>batch_reaction_time_in_hours</t>
  </si>
  <si>
    <t>CFI_thickness</t>
  </si>
  <si>
    <t>HTMLI_thickness</t>
  </si>
  <si>
    <t>delta_T_insulation</t>
  </si>
  <si>
    <t>reactor_heat_up_time_in_hours</t>
  </si>
  <si>
    <t>T_pre_heater</t>
  </si>
  <si>
    <t>T_regolith_in</t>
  </si>
  <si>
    <t>system_efficiency</t>
  </si>
  <si>
    <t>cryocooler_efficiency</t>
  </si>
  <si>
    <t>T_hot_reservoir_carnot_cycle</t>
  </si>
  <si>
    <t>T_of_incoming_oxygen</t>
  </si>
  <si>
    <t>vip_thickness</t>
  </si>
  <si>
    <t>vip_thermal_conductivity</t>
  </si>
  <si>
    <t>vip_emissivity</t>
  </si>
  <si>
    <t>cryocooler_efficiency_storage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</si>
</sst>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71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23"/>
  <sheetViews>
    <sheetView tabSelected="1" topLeftCell="AH13" workbookViewId="0">
      <selection activeCell="AW2" sqref="AW2:AW23"/>
    </sheetView>
  </sheetViews>
  <sheetFormatPr defaultRowHeight="15" x14ac:dyDescent="0.25"/>
  <cols>
    <col min="1" max="1" width="17.140625" customWidth="1"/>
    <col min="43" max="49" width="9.7109375" customWidth="1"/>
    <col min="50" max="50" width="9.7109375" style="5" customWidth="1"/>
    <col min="51" max="58" width="9.7109375" customWidth="1"/>
    <col min="59" max="59" width="16.7109375" customWidth="1"/>
    <col min="60" max="60" width="12" bestFit="1" customWidth="1"/>
  </cols>
  <sheetData>
    <row r="1" spans="1:6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4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 spans="1:64" x14ac:dyDescent="0.25">
      <c r="A2" t="s">
        <v>58</v>
      </c>
      <c r="B2">
        <v>100</v>
      </c>
      <c r="C2">
        <v>1100</v>
      </c>
      <c r="D2">
        <v>2100</v>
      </c>
      <c r="H2">
        <v>100</v>
      </c>
      <c r="I2">
        <v>225</v>
      </c>
      <c r="J2">
        <v>350</v>
      </c>
      <c r="K2">
        <v>475</v>
      </c>
      <c r="L2">
        <v>600</v>
      </c>
      <c r="M2">
        <v>725</v>
      </c>
      <c r="N2">
        <v>850</v>
      </c>
      <c r="O2">
        <v>975</v>
      </c>
      <c r="P2">
        <v>1100</v>
      </c>
      <c r="Q2">
        <v>1225</v>
      </c>
      <c r="R2">
        <v>1350</v>
      </c>
      <c r="S2">
        <v>1475</v>
      </c>
      <c r="T2">
        <v>1600</v>
      </c>
      <c r="U2">
        <v>1725</v>
      </c>
      <c r="V2">
        <v>1850</v>
      </c>
      <c r="W2">
        <v>1975</v>
      </c>
      <c r="X2">
        <v>2100</v>
      </c>
      <c r="Y2">
        <v>-90.909090909090907</v>
      </c>
      <c r="Z2">
        <v>-79.545454545454547</v>
      </c>
      <c r="AA2">
        <v>-68.181818181818173</v>
      </c>
      <c r="AB2">
        <v>-56.81818181818182</v>
      </c>
      <c r="AC2">
        <v>-45.454545454545453</v>
      </c>
      <c r="AD2">
        <v>-34.090909090909093</v>
      </c>
      <c r="AE2">
        <v>-22.72727272727273</v>
      </c>
      <c r="AF2">
        <v>-11.36363636363636</v>
      </c>
      <c r="AG2">
        <v>0</v>
      </c>
      <c r="AH2">
        <v>11.36363636363636</v>
      </c>
      <c r="AI2">
        <v>22.72727272727273</v>
      </c>
      <c r="AJ2">
        <v>34.090909090909093</v>
      </c>
      <c r="AK2">
        <v>45.454545454545453</v>
      </c>
      <c r="AL2">
        <v>56.81818181818182</v>
      </c>
      <c r="AM2">
        <v>68.181818181818173</v>
      </c>
      <c r="AN2">
        <v>79.545454545454547</v>
      </c>
      <c r="AO2">
        <v>90.909090909090907</v>
      </c>
      <c r="AP2">
        <v>24.574714576624899</v>
      </c>
      <c r="AQ2">
        <v>24.574795438156841</v>
      </c>
      <c r="AR2">
        <v>24.574876299688771</v>
      </c>
      <c r="AS2">
        <v>24.57495716122072</v>
      </c>
      <c r="AT2">
        <v>24.575038022752651</v>
      </c>
      <c r="AU2">
        <v>24.575118884284599</v>
      </c>
      <c r="AV2">
        <v>24.575199745816541</v>
      </c>
      <c r="AW2">
        <v>24.575280607348471</v>
      </c>
      <c r="AX2" s="5">
        <v>24.57536146888042</v>
      </c>
      <c r="AY2">
        <v>24.575442330412361</v>
      </c>
      <c r="AZ2">
        <v>24.575523191944299</v>
      </c>
      <c r="BA2">
        <v>24.575604053476241</v>
      </c>
      <c r="BB2">
        <v>24.575684915008178</v>
      </c>
      <c r="BC2">
        <v>24.57576577654012</v>
      </c>
      <c r="BD2">
        <v>24.575846638072061</v>
      </c>
      <c r="BE2">
        <v>24.575927499603999</v>
      </c>
      <c r="BF2">
        <v>24.576008361135941</v>
      </c>
      <c r="BG2" s="3">
        <f>((AX2-AV2)/AW2)/((Q2-O2)/P2)</f>
        <v>2.8955172168252436E-5</v>
      </c>
      <c r="BH2" s="2">
        <f>LOG(AX2/AV2)/LOG(Q2/O2)</f>
        <v>2.8830105191196079E-5</v>
      </c>
      <c r="BJ2" s="3">
        <v>0</v>
      </c>
      <c r="BL2">
        <f>BG2/BH2</f>
        <v>1.0043380687037711</v>
      </c>
    </row>
    <row r="3" spans="1:64" x14ac:dyDescent="0.25">
      <c r="A3" t="s">
        <v>59</v>
      </c>
      <c r="B3">
        <v>40</v>
      </c>
      <c r="C3">
        <v>45</v>
      </c>
      <c r="D3">
        <v>50</v>
      </c>
      <c r="H3">
        <v>40</v>
      </c>
      <c r="I3">
        <v>40.625</v>
      </c>
      <c r="J3">
        <v>41.25</v>
      </c>
      <c r="K3">
        <v>41.875</v>
      </c>
      <c r="L3">
        <v>42.5</v>
      </c>
      <c r="M3">
        <v>43.125</v>
      </c>
      <c r="N3">
        <v>43.75</v>
      </c>
      <c r="O3">
        <v>44.375</v>
      </c>
      <c r="P3">
        <v>45</v>
      </c>
      <c r="Q3">
        <v>45.625</v>
      </c>
      <c r="R3">
        <v>46.25</v>
      </c>
      <c r="S3">
        <v>46.875</v>
      </c>
      <c r="T3">
        <v>47.5</v>
      </c>
      <c r="U3">
        <v>48.125</v>
      </c>
      <c r="V3">
        <v>48.75</v>
      </c>
      <c r="W3">
        <v>49.375</v>
      </c>
      <c r="X3">
        <v>50</v>
      </c>
      <c r="Y3">
        <v>-11.111111111111111</v>
      </c>
      <c r="Z3">
        <v>-9.7222222222222232</v>
      </c>
      <c r="AA3">
        <v>-8.3333333333333321</v>
      </c>
      <c r="AB3">
        <v>-6.9444444444444446</v>
      </c>
      <c r="AC3">
        <v>-5.5555555555555554</v>
      </c>
      <c r="AD3">
        <v>-4.1666666666666661</v>
      </c>
      <c r="AE3">
        <v>-2.7777777777777781</v>
      </c>
      <c r="AF3">
        <v>-1.3888888888888891</v>
      </c>
      <c r="AG3">
        <v>0</v>
      </c>
      <c r="AH3">
        <v>1.3888888888888891</v>
      </c>
      <c r="AI3">
        <v>2.7777777777777781</v>
      </c>
      <c r="AJ3">
        <v>4.1666666666666661</v>
      </c>
      <c r="AK3">
        <v>5.5555555555555554</v>
      </c>
      <c r="AL3">
        <v>6.9444444444444446</v>
      </c>
      <c r="AM3">
        <v>8.3333333333333321</v>
      </c>
      <c r="AN3">
        <v>9.7222222222222232</v>
      </c>
      <c r="AO3">
        <v>11.111111111111111</v>
      </c>
      <c r="AP3">
        <v>24.575342173163509</v>
      </c>
      <c r="AQ3">
        <v>24.57534244782082</v>
      </c>
      <c r="AR3">
        <v>24.575343308261871</v>
      </c>
      <c r="AS3">
        <v>24.57534476437986</v>
      </c>
      <c r="AT3">
        <v>24.575346828034331</v>
      </c>
      <c r="AU3">
        <v>24.57534951312968</v>
      </c>
      <c r="AV3">
        <v>24.575352835709548</v>
      </c>
      <c r="AW3">
        <v>24.575356814068179</v>
      </c>
      <c r="AX3" s="5">
        <v>24.57536146888042</v>
      </c>
      <c r="AY3">
        <v>24.5753668233518</v>
      </c>
      <c r="AZ3">
        <v>24.575372903391091</v>
      </c>
      <c r="BA3">
        <v>24.57537973780741</v>
      </c>
      <c r="BB3">
        <v>24.575387358535071</v>
      </c>
      <c r="BC3">
        <v>24.57539580088919</v>
      </c>
      <c r="BD3">
        <v>24.575405103856209</v>
      </c>
      <c r="BE3">
        <v>24.57541531042375</v>
      </c>
      <c r="BF3">
        <v>24.575426467955211</v>
      </c>
      <c r="BG3" s="3">
        <f t="shared" ref="BG3:BG23" si="0">((AX3-AV3)/AW3)/((Q3-O3)/P3)</f>
        <v>1.264657737122984E-5</v>
      </c>
      <c r="BH3" s="2">
        <f t="shared" ref="BH3:BH23" si="1">LOG(AX3/AV3)/LOG(Q3/O3)</f>
        <v>1.264576397240232E-5</v>
      </c>
      <c r="BJ3" s="3">
        <v>0</v>
      </c>
      <c r="BL3">
        <f t="shared" ref="BL3:BL23" si="2">BG3/BH3</f>
        <v>1.0000643218416299</v>
      </c>
    </row>
    <row r="4" spans="1:64" x14ac:dyDescent="0.25">
      <c r="A4" t="s">
        <v>60</v>
      </c>
      <c r="B4">
        <v>10</v>
      </c>
      <c r="C4">
        <v>12.5</v>
      </c>
      <c r="D4">
        <v>15</v>
      </c>
      <c r="H4">
        <v>10</v>
      </c>
      <c r="I4">
        <v>10.3125</v>
      </c>
      <c r="J4">
        <v>10.625</v>
      </c>
      <c r="K4">
        <v>10.9375</v>
      </c>
      <c r="L4">
        <v>11.25</v>
      </c>
      <c r="M4">
        <v>11.5625</v>
      </c>
      <c r="N4">
        <v>11.875</v>
      </c>
      <c r="O4">
        <v>12.1875</v>
      </c>
      <c r="P4">
        <v>12.5</v>
      </c>
      <c r="Q4">
        <v>12.8125</v>
      </c>
      <c r="R4">
        <v>13.125</v>
      </c>
      <c r="S4">
        <v>13.4375</v>
      </c>
      <c r="T4">
        <v>13.75</v>
      </c>
      <c r="U4">
        <v>14.0625</v>
      </c>
      <c r="V4">
        <v>14.375</v>
      </c>
      <c r="W4">
        <v>14.6875</v>
      </c>
      <c r="X4">
        <v>15</v>
      </c>
      <c r="Y4">
        <v>-20</v>
      </c>
      <c r="Z4">
        <v>-17.5</v>
      </c>
      <c r="AA4">
        <v>-15</v>
      </c>
      <c r="AB4">
        <v>-12.5</v>
      </c>
      <c r="AC4">
        <v>-10</v>
      </c>
      <c r="AD4">
        <v>-7.5</v>
      </c>
      <c r="AE4">
        <v>-5</v>
      </c>
      <c r="AF4">
        <v>-2.5</v>
      </c>
      <c r="AG4">
        <v>0</v>
      </c>
      <c r="AH4">
        <v>2.5</v>
      </c>
      <c r="AI4">
        <v>5</v>
      </c>
      <c r="AJ4">
        <v>7.5</v>
      </c>
      <c r="AK4">
        <v>10</v>
      </c>
      <c r="AL4">
        <v>12.5</v>
      </c>
      <c r="AM4">
        <v>15</v>
      </c>
      <c r="AN4">
        <v>17.5</v>
      </c>
      <c r="AO4">
        <v>20</v>
      </c>
      <c r="AP4">
        <v>24.575182531301781</v>
      </c>
      <c r="AQ4">
        <v>24.575203542609049</v>
      </c>
      <c r="AR4">
        <v>24.57522493417483</v>
      </c>
      <c r="AS4">
        <v>24.575246709587219</v>
      </c>
      <c r="AT4">
        <v>24.575268872420359</v>
      </c>
      <c r="AU4">
        <v>24.575291426233129</v>
      </c>
      <c r="AV4">
        <v>24.575314374567789</v>
      </c>
      <c r="AW4">
        <v>24.575337720948621</v>
      </c>
      <c r="AX4" s="5">
        <v>24.57536146888042</v>
      </c>
      <c r="AY4">
        <v>24.575385621847129</v>
      </c>
      <c r="AZ4">
        <v>24.575410183310328</v>
      </c>
      <c r="BA4">
        <v>24.57543515670767</v>
      </c>
      <c r="BB4">
        <v>24.57546054545131</v>
      </c>
      <c r="BC4">
        <v>24.575486352926379</v>
      </c>
      <c r="BD4">
        <v>24.575512582489271</v>
      </c>
      <c r="BE4">
        <v>24.575539237465961</v>
      </c>
      <c r="BF4">
        <v>24.57556632115034</v>
      </c>
      <c r="BG4" s="3">
        <f t="shared" si="0"/>
        <v>3.832648256207042E-5</v>
      </c>
      <c r="BH4" s="2">
        <f t="shared" si="1"/>
        <v>3.8318496233820069E-5</v>
      </c>
      <c r="BJ4" s="3">
        <v>0</v>
      </c>
      <c r="BL4">
        <f t="shared" si="2"/>
        <v>1.0002084196676617</v>
      </c>
    </row>
    <row r="5" spans="1:64" x14ac:dyDescent="0.25">
      <c r="A5" t="s">
        <v>61</v>
      </c>
      <c r="B5">
        <v>1.5</v>
      </c>
      <c r="C5">
        <v>6</v>
      </c>
      <c r="D5">
        <v>10.5</v>
      </c>
      <c r="H5">
        <v>1.5</v>
      </c>
      <c r="I5">
        <v>2.0625</v>
      </c>
      <c r="J5">
        <v>2.625</v>
      </c>
      <c r="K5">
        <v>3.1875</v>
      </c>
      <c r="L5">
        <v>3.75</v>
      </c>
      <c r="M5">
        <v>4.3125</v>
      </c>
      <c r="N5">
        <v>4.875</v>
      </c>
      <c r="O5">
        <v>5.4375</v>
      </c>
      <c r="P5">
        <v>6</v>
      </c>
      <c r="Q5">
        <v>6.5625</v>
      </c>
      <c r="R5">
        <v>7.125</v>
      </c>
      <c r="S5">
        <v>7.6875</v>
      </c>
      <c r="T5">
        <v>8.25</v>
      </c>
      <c r="U5">
        <v>8.8125</v>
      </c>
      <c r="V5">
        <v>9.375</v>
      </c>
      <c r="W5">
        <v>9.9375</v>
      </c>
      <c r="X5">
        <v>10.5</v>
      </c>
      <c r="Y5">
        <v>-75</v>
      </c>
      <c r="Z5">
        <v>-65.625</v>
      </c>
      <c r="AA5">
        <v>-56.25</v>
      </c>
      <c r="AB5">
        <v>-46.875</v>
      </c>
      <c r="AC5">
        <v>-37.5</v>
      </c>
      <c r="AD5">
        <v>-28.125</v>
      </c>
      <c r="AE5">
        <v>-18.75</v>
      </c>
      <c r="AF5">
        <v>-9.375</v>
      </c>
      <c r="AG5">
        <v>0</v>
      </c>
      <c r="AH5">
        <v>9.375</v>
      </c>
      <c r="AI5">
        <v>18.75</v>
      </c>
      <c r="AJ5">
        <v>28.125</v>
      </c>
      <c r="AK5">
        <v>37.5</v>
      </c>
      <c r="AL5">
        <v>46.875</v>
      </c>
      <c r="AM5">
        <v>56.25</v>
      </c>
      <c r="AN5">
        <v>65.625</v>
      </c>
      <c r="AO5">
        <v>75</v>
      </c>
      <c r="AP5">
        <v>53.734918628957239</v>
      </c>
      <c r="AQ5">
        <v>43.197540617749077</v>
      </c>
      <c r="AR5">
        <v>37.0376921319125</v>
      </c>
      <c r="AS5">
        <v>33.165958094726882</v>
      </c>
      <c r="AT5">
        <v>30.45574426869695</v>
      </c>
      <c r="AU5">
        <v>28.36824471415105</v>
      </c>
      <c r="AV5">
        <v>26.83704716111755</v>
      </c>
      <c r="AW5">
        <v>25.555792042779011</v>
      </c>
      <c r="AX5" s="5">
        <v>24.57536146888042</v>
      </c>
      <c r="AY5">
        <v>23.76300470765015</v>
      </c>
      <c r="AZ5">
        <v>23.027892311033959</v>
      </c>
      <c r="BA5">
        <v>22.447646477631039</v>
      </c>
      <c r="BB5">
        <v>21.902460196236529</v>
      </c>
      <c r="BC5">
        <v>21.46812439144659</v>
      </c>
      <c r="BD5">
        <v>21.085908883231429</v>
      </c>
      <c r="BE5">
        <v>20.746328710486491</v>
      </c>
      <c r="BF5">
        <v>20.746328710486491</v>
      </c>
      <c r="BG5" s="3">
        <f t="shared" si="0"/>
        <v>-0.47199960274131531</v>
      </c>
      <c r="BH5" s="2">
        <f t="shared" si="1"/>
        <v>-0.4681620327813022</v>
      </c>
      <c r="BJ5" s="3">
        <v>-0.89</v>
      </c>
      <c r="BL5">
        <f t="shared" si="2"/>
        <v>1.0081970977808996</v>
      </c>
    </row>
    <row r="6" spans="1:64" x14ac:dyDescent="0.25">
      <c r="A6" t="s">
        <v>62</v>
      </c>
      <c r="B6">
        <v>0.24</v>
      </c>
      <c r="C6">
        <v>0.505</v>
      </c>
      <c r="D6">
        <v>0.77</v>
      </c>
      <c r="H6">
        <v>0.24</v>
      </c>
      <c r="I6">
        <v>0.27312500000000001</v>
      </c>
      <c r="J6">
        <v>0.30625000000000002</v>
      </c>
      <c r="K6">
        <v>0.33937499999999998</v>
      </c>
      <c r="L6">
        <v>0.3725</v>
      </c>
      <c r="M6">
        <v>0.40562500000000001</v>
      </c>
      <c r="N6">
        <v>0.43874999999999997</v>
      </c>
      <c r="O6">
        <v>0.47187499999999999</v>
      </c>
      <c r="P6">
        <v>0.505</v>
      </c>
      <c r="Q6">
        <v>0.53812499999999996</v>
      </c>
      <c r="R6">
        <v>0.57125000000000004</v>
      </c>
      <c r="S6">
        <v>0.604375</v>
      </c>
      <c r="T6">
        <v>0.63749999999999996</v>
      </c>
      <c r="U6">
        <v>0.67062500000000003</v>
      </c>
      <c r="V6">
        <v>0.70374999999999999</v>
      </c>
      <c r="W6">
        <v>0.73687499999999995</v>
      </c>
      <c r="X6">
        <v>0.77</v>
      </c>
      <c r="Y6">
        <v>-52.475247524752483</v>
      </c>
      <c r="Z6">
        <v>-45.915841584158407</v>
      </c>
      <c r="AA6">
        <v>-39.356435643564353</v>
      </c>
      <c r="AB6">
        <v>-32.797029702970299</v>
      </c>
      <c r="AC6">
        <v>-26.237623762376241</v>
      </c>
      <c r="AD6">
        <v>-19.67821782178218</v>
      </c>
      <c r="AE6">
        <v>-13.118811881188121</v>
      </c>
      <c r="AF6">
        <v>-6.5594059405940621</v>
      </c>
      <c r="AG6">
        <v>0</v>
      </c>
      <c r="AH6">
        <v>6.5594059405940506</v>
      </c>
      <c r="AI6">
        <v>13.118811881188121</v>
      </c>
      <c r="AJ6">
        <v>19.67821782178218</v>
      </c>
      <c r="AK6">
        <v>26.237623762376231</v>
      </c>
      <c r="AL6">
        <v>32.797029702970299</v>
      </c>
      <c r="AM6">
        <v>39.356435643564353</v>
      </c>
      <c r="AN6">
        <v>45.915841584158407</v>
      </c>
      <c r="AO6">
        <v>52.475247524752483</v>
      </c>
      <c r="AP6">
        <v>24.736722484059332</v>
      </c>
      <c r="AQ6">
        <v>24.699428519452759</v>
      </c>
      <c r="AR6">
        <v>24.670202228822301</v>
      </c>
      <c r="AS6">
        <v>24.646681254594849</v>
      </c>
      <c r="AT6">
        <v>24.627343540884361</v>
      </c>
      <c r="AU6">
        <v>24.611164221092679</v>
      </c>
      <c r="AV6">
        <v>24.597427932494629</v>
      </c>
      <c r="AW6">
        <v>24.585620182428219</v>
      </c>
      <c r="AX6" s="5">
        <v>24.57536146888042</v>
      </c>
      <c r="AY6">
        <v>24.566365732842559</v>
      </c>
      <c r="AZ6">
        <v>24.558413265973218</v>
      </c>
      <c r="BA6">
        <v>24.551332527633509</v>
      </c>
      <c r="BB6">
        <v>24.544987630729089</v>
      </c>
      <c r="BC6">
        <v>24.539269536314769</v>
      </c>
      <c r="BD6">
        <v>24.534089734980299</v>
      </c>
      <c r="BE6">
        <v>24.529375632493551</v>
      </c>
      <c r="BF6">
        <v>24.525067126486991</v>
      </c>
      <c r="BG6" s="3">
        <f t="shared" si="0"/>
        <v>-6.8415903387420854E-3</v>
      </c>
      <c r="BH6" s="2">
        <f t="shared" si="1"/>
        <v>-6.8315521354858398E-3</v>
      </c>
      <c r="BJ6" s="3">
        <v>-0.01</v>
      </c>
      <c r="BL6">
        <f t="shared" si="2"/>
        <v>1.0014693883698995</v>
      </c>
    </row>
    <row r="7" spans="1:64" x14ac:dyDescent="0.25">
      <c r="A7" t="s">
        <v>63</v>
      </c>
      <c r="B7">
        <v>0.4</v>
      </c>
      <c r="C7">
        <v>0.6</v>
      </c>
      <c r="D7">
        <v>0.8</v>
      </c>
      <c r="H7">
        <v>0.4</v>
      </c>
      <c r="I7">
        <v>0.42499999999999999</v>
      </c>
      <c r="J7">
        <v>0.45</v>
      </c>
      <c r="K7">
        <v>0.47499999999999998</v>
      </c>
      <c r="L7">
        <v>0.5</v>
      </c>
      <c r="M7">
        <v>0.52500000000000002</v>
      </c>
      <c r="N7">
        <v>0.55000000000000004</v>
      </c>
      <c r="O7">
        <v>0.57500000000000007</v>
      </c>
      <c r="P7">
        <v>0.60000000000000009</v>
      </c>
      <c r="Q7">
        <v>0.625</v>
      </c>
      <c r="R7">
        <v>0.65</v>
      </c>
      <c r="S7">
        <v>0.67500000000000004</v>
      </c>
      <c r="T7">
        <v>0.70000000000000007</v>
      </c>
      <c r="U7">
        <v>0.72500000000000009</v>
      </c>
      <c r="V7">
        <v>0.75</v>
      </c>
      <c r="W7">
        <v>0.77500000000000002</v>
      </c>
      <c r="X7">
        <v>0.8</v>
      </c>
      <c r="Y7">
        <v>-33.333333333333329</v>
      </c>
      <c r="Z7">
        <v>-29.166666666666661</v>
      </c>
      <c r="AA7">
        <v>-24.999999999999989</v>
      </c>
      <c r="AB7">
        <v>-20.833333333333329</v>
      </c>
      <c r="AC7">
        <v>-16.666666666666661</v>
      </c>
      <c r="AD7">
        <v>-12.499999999999989</v>
      </c>
      <c r="AE7">
        <v>-8.3333333333333233</v>
      </c>
      <c r="AF7">
        <v>-4.1666666666666519</v>
      </c>
      <c r="AG7">
        <v>0</v>
      </c>
      <c r="AH7">
        <v>4.1666666666666714</v>
      </c>
      <c r="AI7">
        <v>8.333333333333341</v>
      </c>
      <c r="AJ7">
        <v>12.500000000000011</v>
      </c>
      <c r="AK7">
        <v>16.666666666666679</v>
      </c>
      <c r="AL7">
        <v>20.83333333333335</v>
      </c>
      <c r="AM7">
        <v>25.000000000000011</v>
      </c>
      <c r="AN7">
        <v>29.166666666666671</v>
      </c>
      <c r="AO7">
        <v>33.33333333333335</v>
      </c>
      <c r="AP7">
        <v>24.648055836767568</v>
      </c>
      <c r="AQ7">
        <v>24.635227418905131</v>
      </c>
      <c r="AR7">
        <v>24.623824380805178</v>
      </c>
      <c r="AS7">
        <v>24.613621662505231</v>
      </c>
      <c r="AT7">
        <v>24.604439216035281</v>
      </c>
      <c r="AU7">
        <v>24.596131288276752</v>
      </c>
      <c r="AV7">
        <v>24.588578626678078</v>
      </c>
      <c r="AW7">
        <v>24.581682718261909</v>
      </c>
      <c r="AX7" s="5">
        <v>24.57536146888042</v>
      </c>
      <c r="AY7">
        <v>24.569545919449439</v>
      </c>
      <c r="AZ7">
        <v>24.564177719974701</v>
      </c>
      <c r="BA7">
        <v>24.559207164905491</v>
      </c>
      <c r="BB7">
        <v>24.554591649484092</v>
      </c>
      <c r="BC7">
        <v>24.550294445471049</v>
      </c>
      <c r="BD7">
        <v>24.546283721725551</v>
      </c>
      <c r="BE7">
        <v>24.54253175435074</v>
      </c>
      <c r="BF7">
        <v>24.53901428493684</v>
      </c>
      <c r="BG7" s="3">
        <f t="shared" si="0"/>
        <v>-6.4521983864869086E-3</v>
      </c>
      <c r="BH7" s="2">
        <f t="shared" si="1"/>
        <v>-6.4483875268121918E-3</v>
      </c>
      <c r="BJ7" s="3">
        <v>-0.01</v>
      </c>
      <c r="BL7">
        <f t="shared" si="2"/>
        <v>1.0005909786995386</v>
      </c>
    </row>
    <row r="8" spans="1:64" x14ac:dyDescent="0.25">
      <c r="A8" t="s">
        <v>64</v>
      </c>
      <c r="B8">
        <v>47</v>
      </c>
      <c r="C8">
        <v>67</v>
      </c>
      <c r="D8">
        <v>87</v>
      </c>
      <c r="H8">
        <v>47</v>
      </c>
      <c r="I8">
        <v>49.5</v>
      </c>
      <c r="J8">
        <v>52</v>
      </c>
      <c r="K8">
        <v>54.5</v>
      </c>
      <c r="L8">
        <v>57</v>
      </c>
      <c r="M8">
        <v>59.5</v>
      </c>
      <c r="N8">
        <v>62</v>
      </c>
      <c r="O8">
        <v>64.5</v>
      </c>
      <c r="P8">
        <v>67</v>
      </c>
      <c r="Q8">
        <v>69.5</v>
      </c>
      <c r="R8">
        <v>72</v>
      </c>
      <c r="S8">
        <v>74.5</v>
      </c>
      <c r="T8">
        <v>77</v>
      </c>
      <c r="U8">
        <v>79.5</v>
      </c>
      <c r="V8">
        <v>82</v>
      </c>
      <c r="W8">
        <v>84.5</v>
      </c>
      <c r="X8">
        <v>87</v>
      </c>
      <c r="Y8">
        <v>-29.85074626865671</v>
      </c>
      <c r="Z8">
        <v>-26.119402985074629</v>
      </c>
      <c r="AA8">
        <v>-22.388059701492541</v>
      </c>
      <c r="AB8">
        <v>-18.656716417910449</v>
      </c>
      <c r="AC8">
        <v>-14.92537313432836</v>
      </c>
      <c r="AD8">
        <v>-11.19402985074627</v>
      </c>
      <c r="AE8">
        <v>-7.4626865671641784</v>
      </c>
      <c r="AF8">
        <v>-3.7313432835820892</v>
      </c>
      <c r="AG8">
        <v>0</v>
      </c>
      <c r="AH8">
        <v>3.7313432835820892</v>
      </c>
      <c r="AI8">
        <v>7.4626865671641784</v>
      </c>
      <c r="AJ8">
        <v>11.19402985074627</v>
      </c>
      <c r="AK8">
        <v>14.92537313432836</v>
      </c>
      <c r="AL8">
        <v>18.656716417910449</v>
      </c>
      <c r="AM8">
        <v>22.388059701492541</v>
      </c>
      <c r="AN8">
        <v>26.119402985074629</v>
      </c>
      <c r="AO8">
        <v>29.85074626865671</v>
      </c>
      <c r="AP8">
        <v>24.551609958551051</v>
      </c>
      <c r="AQ8">
        <v>24.554620996958349</v>
      </c>
      <c r="AR8">
        <v>24.55761902602886</v>
      </c>
      <c r="AS8">
        <v>24.560604589605031</v>
      </c>
      <c r="AT8">
        <v>24.563578184295231</v>
      </c>
      <c r="AU8">
        <v>24.566540265596348</v>
      </c>
      <c r="AV8">
        <v>24.569491252989131</v>
      </c>
      <c r="AW8">
        <v>24.572431534213099</v>
      </c>
      <c r="AX8" s="5">
        <v>24.57536146888042</v>
      </c>
      <c r="AY8">
        <v>24.578281391552721</v>
      </c>
      <c r="AZ8">
        <v>24.58119161437774</v>
      </c>
      <c r="BA8">
        <v>24.584092429361899</v>
      </c>
      <c r="BB8">
        <v>24.586984110340151</v>
      </c>
      <c r="BC8">
        <v>24.589866914693211</v>
      </c>
      <c r="BD8">
        <v>24.592741084848821</v>
      </c>
      <c r="BE8">
        <v>24.595606849604259</v>
      </c>
      <c r="BF8">
        <v>24.598464425294249</v>
      </c>
      <c r="BG8" s="3">
        <f t="shared" si="0"/>
        <v>3.2011847437135262E-3</v>
      </c>
      <c r="BH8" s="2">
        <f t="shared" si="1"/>
        <v>3.1996992189827762E-3</v>
      </c>
      <c r="BJ8" s="3">
        <v>0</v>
      </c>
      <c r="BL8">
        <f t="shared" si="2"/>
        <v>1.0004642701169963</v>
      </c>
    </row>
    <row r="9" spans="1:64" x14ac:dyDescent="0.25">
      <c r="A9" t="s">
        <v>65</v>
      </c>
      <c r="B9">
        <v>0.5</v>
      </c>
      <c r="C9">
        <v>2.5</v>
      </c>
      <c r="D9">
        <v>4.5</v>
      </c>
      <c r="H9">
        <v>0.5</v>
      </c>
      <c r="I9">
        <v>0.75</v>
      </c>
      <c r="J9">
        <v>1</v>
      </c>
      <c r="K9">
        <v>1.25</v>
      </c>
      <c r="L9">
        <v>1.5</v>
      </c>
      <c r="M9">
        <v>1.75</v>
      </c>
      <c r="N9">
        <v>2</v>
      </c>
      <c r="O9">
        <v>2.25</v>
      </c>
      <c r="P9">
        <v>2.5</v>
      </c>
      <c r="Q9">
        <v>2.75</v>
      </c>
      <c r="R9">
        <v>3</v>
      </c>
      <c r="S9">
        <v>3.25</v>
      </c>
      <c r="T9">
        <v>3.5</v>
      </c>
      <c r="U9">
        <v>3.75</v>
      </c>
      <c r="V9">
        <v>4</v>
      </c>
      <c r="W9">
        <v>4.25</v>
      </c>
      <c r="X9">
        <v>4.5</v>
      </c>
      <c r="Y9">
        <v>-80</v>
      </c>
      <c r="Z9">
        <v>-70</v>
      </c>
      <c r="AA9">
        <v>-60</v>
      </c>
      <c r="AB9">
        <v>-50</v>
      </c>
      <c r="AC9">
        <v>-40</v>
      </c>
      <c r="AD9">
        <v>-30</v>
      </c>
      <c r="AE9">
        <v>-20</v>
      </c>
      <c r="AF9">
        <v>-10</v>
      </c>
      <c r="AG9">
        <v>0</v>
      </c>
      <c r="AH9">
        <v>10</v>
      </c>
      <c r="AI9">
        <v>20</v>
      </c>
      <c r="AJ9">
        <v>30</v>
      </c>
      <c r="AK9">
        <v>40</v>
      </c>
      <c r="AL9">
        <v>50</v>
      </c>
      <c r="AM9">
        <v>60</v>
      </c>
      <c r="AN9">
        <v>70</v>
      </c>
      <c r="AO9">
        <v>80</v>
      </c>
      <c r="AP9">
        <v>21.308155744254989</v>
      </c>
      <c r="AQ9">
        <v>21.859559725422429</v>
      </c>
      <c r="AR9">
        <v>22.35761150014644</v>
      </c>
      <c r="AS9">
        <v>22.81119273289876</v>
      </c>
      <c r="AT9">
        <v>23.226176136625451</v>
      </c>
      <c r="AU9">
        <v>23.60690271598752</v>
      </c>
      <c r="AV9">
        <v>23.956822555915998</v>
      </c>
      <c r="AW9">
        <v>24.278814365992972</v>
      </c>
      <c r="AX9" s="5">
        <v>24.57536146888042</v>
      </c>
      <c r="AY9">
        <v>24.848656301081661</v>
      </c>
      <c r="AZ9">
        <v>25.100666279787109</v>
      </c>
      <c r="BA9">
        <v>25.333177406253022</v>
      </c>
      <c r="BB9">
        <v>25.54782435692487</v>
      </c>
      <c r="BC9">
        <v>25.746112015435891</v>
      </c>
      <c r="BD9">
        <v>25.929431385003671</v>
      </c>
      <c r="BE9">
        <v>26.09907169695747</v>
      </c>
      <c r="BF9">
        <v>26.256229876059422</v>
      </c>
      <c r="BG9" s="3">
        <f t="shared" si="0"/>
        <v>0.12738243796426918</v>
      </c>
      <c r="BH9" s="2">
        <f t="shared" si="1"/>
        <v>0.12703013135923083</v>
      </c>
      <c r="BJ9" s="3">
        <v>0.13</v>
      </c>
      <c r="BL9">
        <f t="shared" si="2"/>
        <v>1.0027734097514396</v>
      </c>
    </row>
    <row r="10" spans="1:64" x14ac:dyDescent="0.25">
      <c r="A10" t="s">
        <v>66</v>
      </c>
      <c r="B10">
        <v>0.02</v>
      </c>
      <c r="C10">
        <v>0.06</v>
      </c>
      <c r="D10">
        <v>0.1</v>
      </c>
      <c r="H10">
        <v>0.02</v>
      </c>
      <c r="I10">
        <v>2.5000000000000001E-2</v>
      </c>
      <c r="J10">
        <v>0.03</v>
      </c>
      <c r="K10">
        <v>3.5000000000000003E-2</v>
      </c>
      <c r="L10">
        <v>0.04</v>
      </c>
      <c r="M10">
        <v>4.4999999999999998E-2</v>
      </c>
      <c r="N10">
        <v>0.05</v>
      </c>
      <c r="O10">
        <v>5.5000000000000007E-2</v>
      </c>
      <c r="P10">
        <v>0.06</v>
      </c>
      <c r="Q10">
        <v>6.5000000000000002E-2</v>
      </c>
      <c r="R10">
        <v>7.0000000000000007E-2</v>
      </c>
      <c r="S10">
        <v>7.4999999999999997E-2</v>
      </c>
      <c r="T10">
        <v>0.08</v>
      </c>
      <c r="U10">
        <v>8.5000000000000006E-2</v>
      </c>
      <c r="V10">
        <v>9.0000000000000011E-2</v>
      </c>
      <c r="W10">
        <v>9.5000000000000001E-2</v>
      </c>
      <c r="X10">
        <v>0.1</v>
      </c>
      <c r="Y10">
        <v>-66.666666666666657</v>
      </c>
      <c r="Z10">
        <v>-58.333333333333329</v>
      </c>
      <c r="AA10">
        <v>-50</v>
      </c>
      <c r="AB10">
        <v>-41.666666666666657</v>
      </c>
      <c r="AC10">
        <v>-33.333333333333329</v>
      </c>
      <c r="AD10">
        <v>-25</v>
      </c>
      <c r="AE10">
        <v>-16.666666666666661</v>
      </c>
      <c r="AF10">
        <v>-8.3333333333333179</v>
      </c>
      <c r="AG10">
        <v>0</v>
      </c>
      <c r="AH10">
        <v>8.333333333333341</v>
      </c>
      <c r="AI10">
        <v>16.666666666666679</v>
      </c>
      <c r="AJ10">
        <v>25</v>
      </c>
      <c r="AK10">
        <v>33.333333333333343</v>
      </c>
      <c r="AL10">
        <v>41.666666666666679</v>
      </c>
      <c r="AM10">
        <v>50.000000000000021</v>
      </c>
      <c r="AN10">
        <v>58.333333333333343</v>
      </c>
      <c r="AO10">
        <v>66.666666666666686</v>
      </c>
      <c r="AP10">
        <v>23.681928145749328</v>
      </c>
      <c r="AQ10">
        <v>23.78969757034864</v>
      </c>
      <c r="AR10">
        <v>23.89858417151688</v>
      </c>
      <c r="AS10">
        <v>24.008587504719181</v>
      </c>
      <c r="AT10">
        <v>24.119707458667399</v>
      </c>
      <c r="AU10">
        <v>24.231944228134619</v>
      </c>
      <c r="AV10">
        <v>24.345298289405349</v>
      </c>
      <c r="AW10">
        <v>24.459770378066299</v>
      </c>
      <c r="AX10" s="5">
        <v>24.57536146888042</v>
      </c>
      <c r="AY10">
        <v>24.69207275751852</v>
      </c>
      <c r="AZ10">
        <v>24.8099056439506</v>
      </c>
      <c r="BA10">
        <v>24.92886171732269</v>
      </c>
      <c r="BB10">
        <v>25.048942742165771</v>
      </c>
      <c r="BC10">
        <v>25.17015064580119</v>
      </c>
      <c r="BD10">
        <v>25.29248750682272</v>
      </c>
      <c r="BE10">
        <v>25.415955544548769</v>
      </c>
      <c r="BF10">
        <v>25.54055710935031</v>
      </c>
      <c r="BG10" s="3">
        <f t="shared" si="0"/>
        <v>5.6434670297978183E-2</v>
      </c>
      <c r="BH10" s="2">
        <f t="shared" si="1"/>
        <v>5.6302918872880379E-2</v>
      </c>
      <c r="BJ10" s="3">
        <v>0.06</v>
      </c>
      <c r="BL10">
        <f t="shared" si="2"/>
        <v>1.002340046088823</v>
      </c>
    </row>
    <row r="11" spans="1:64" x14ac:dyDescent="0.25">
      <c r="A11" t="s">
        <v>67</v>
      </c>
      <c r="B11">
        <v>0.02</v>
      </c>
      <c r="C11">
        <v>0.06</v>
      </c>
      <c r="D11">
        <v>0.1</v>
      </c>
      <c r="H11">
        <v>0.02</v>
      </c>
      <c r="I11">
        <v>2.5000000000000001E-2</v>
      </c>
      <c r="J11">
        <v>0.03</v>
      </c>
      <c r="K11">
        <v>3.5000000000000003E-2</v>
      </c>
      <c r="L11">
        <v>0.04</v>
      </c>
      <c r="M11">
        <v>4.4999999999999998E-2</v>
      </c>
      <c r="N11">
        <v>0.05</v>
      </c>
      <c r="O11">
        <v>5.5000000000000007E-2</v>
      </c>
      <c r="P11">
        <v>0.06</v>
      </c>
      <c r="Q11">
        <v>6.5000000000000002E-2</v>
      </c>
      <c r="R11">
        <v>7.0000000000000007E-2</v>
      </c>
      <c r="S11">
        <v>7.4999999999999997E-2</v>
      </c>
      <c r="T11">
        <v>0.08</v>
      </c>
      <c r="U11">
        <v>8.5000000000000006E-2</v>
      </c>
      <c r="V11">
        <v>9.0000000000000011E-2</v>
      </c>
      <c r="W11">
        <v>9.5000000000000001E-2</v>
      </c>
      <c r="X11">
        <v>0.1</v>
      </c>
      <c r="Y11">
        <v>-66.666666666666657</v>
      </c>
      <c r="Z11">
        <v>-58.333333333333329</v>
      </c>
      <c r="AA11">
        <v>-50</v>
      </c>
      <c r="AB11">
        <v>-41.666666666666657</v>
      </c>
      <c r="AC11">
        <v>-33.333333333333329</v>
      </c>
      <c r="AD11">
        <v>-25</v>
      </c>
      <c r="AE11">
        <v>-16.666666666666661</v>
      </c>
      <c r="AF11">
        <v>-8.3333333333333179</v>
      </c>
      <c r="AG11">
        <v>0</v>
      </c>
      <c r="AH11">
        <v>8.333333333333341</v>
      </c>
      <c r="AI11">
        <v>16.666666666666679</v>
      </c>
      <c r="AJ11">
        <v>25</v>
      </c>
      <c r="AK11">
        <v>33.333333333333343</v>
      </c>
      <c r="AL11">
        <v>41.666666666666679</v>
      </c>
      <c r="AM11">
        <v>50.000000000000021</v>
      </c>
      <c r="AN11">
        <v>58.333333333333343</v>
      </c>
      <c r="AO11">
        <v>66.666666666666686</v>
      </c>
      <c r="AP11">
        <v>24.732385167542411</v>
      </c>
      <c r="AQ11">
        <v>24.69725108738049</v>
      </c>
      <c r="AR11">
        <v>24.66899069173024</v>
      </c>
      <c r="AS11">
        <v>24.64585820195337</v>
      </c>
      <c r="AT11">
        <v>24.626660734670541</v>
      </c>
      <c r="AU11">
        <v>24.610554104802489</v>
      </c>
      <c r="AV11">
        <v>24.596923284314141</v>
      </c>
      <c r="AW11">
        <v>24.585309094335411</v>
      </c>
      <c r="AX11" s="5">
        <v>24.57536146888042</v>
      </c>
      <c r="AY11">
        <v>24.566808658919449</v>
      </c>
      <c r="AZ11">
        <v>24.559436355167069</v>
      </c>
      <c r="BA11">
        <v>24.553073180634581</v>
      </c>
      <c r="BB11">
        <v>24.54758038809446</v>
      </c>
      <c r="BC11">
        <v>24.54284440154105</v>
      </c>
      <c r="BD11">
        <v>24.538771323078201</v>
      </c>
      <c r="BE11">
        <v>24.535282824483971</v>
      </c>
      <c r="BF11">
        <v>24.532313031350611</v>
      </c>
      <c r="BG11" s="3">
        <f t="shared" si="0"/>
        <v>-5.2621218674095121E-3</v>
      </c>
      <c r="BH11" s="2">
        <f t="shared" si="1"/>
        <v>-5.2497407945951884E-3</v>
      </c>
      <c r="BJ11" s="3">
        <v>-0.01</v>
      </c>
      <c r="BL11">
        <f t="shared" si="2"/>
        <v>1.002358416024477</v>
      </c>
    </row>
    <row r="12" spans="1:64" x14ac:dyDescent="0.25">
      <c r="A12" t="s">
        <v>68</v>
      </c>
      <c r="B12">
        <v>100</v>
      </c>
      <c r="C12">
        <v>200</v>
      </c>
      <c r="D12">
        <v>300</v>
      </c>
      <c r="H12">
        <v>100</v>
      </c>
      <c r="I12">
        <v>112.5</v>
      </c>
      <c r="J12">
        <v>125</v>
      </c>
      <c r="K12">
        <v>137.5</v>
      </c>
      <c r="L12">
        <v>150</v>
      </c>
      <c r="M12">
        <v>162.5</v>
      </c>
      <c r="N12">
        <v>175</v>
      </c>
      <c r="O12">
        <v>187.5</v>
      </c>
      <c r="P12">
        <v>200</v>
      </c>
      <c r="Q12">
        <v>212.5</v>
      </c>
      <c r="R12">
        <v>225</v>
      </c>
      <c r="S12">
        <v>237.5</v>
      </c>
      <c r="T12">
        <v>250</v>
      </c>
      <c r="U12">
        <v>262.5</v>
      </c>
      <c r="V12">
        <v>275</v>
      </c>
      <c r="W12">
        <v>287.5</v>
      </c>
      <c r="X12">
        <v>300</v>
      </c>
      <c r="Y12">
        <v>-50</v>
      </c>
      <c r="Z12">
        <v>-43.75</v>
      </c>
      <c r="AA12">
        <v>-37.5</v>
      </c>
      <c r="AB12">
        <v>-31.25</v>
      </c>
      <c r="AC12">
        <v>-25</v>
      </c>
      <c r="AD12">
        <v>-18.75</v>
      </c>
      <c r="AE12">
        <v>-12.5</v>
      </c>
      <c r="AF12">
        <v>-6.25</v>
      </c>
      <c r="AG12">
        <v>0</v>
      </c>
      <c r="AH12">
        <v>6.25</v>
      </c>
      <c r="AI12">
        <v>12.5</v>
      </c>
      <c r="AJ12">
        <v>18.75</v>
      </c>
      <c r="AK12">
        <v>25</v>
      </c>
      <c r="AL12">
        <v>31.25</v>
      </c>
      <c r="AM12">
        <v>37.5</v>
      </c>
      <c r="AN12">
        <v>43.75</v>
      </c>
      <c r="AO12">
        <v>50</v>
      </c>
      <c r="AP12">
        <v>23.886521542290719</v>
      </c>
      <c r="AQ12">
        <v>23.972626533114429</v>
      </c>
      <c r="AR12">
        <v>24.058731523938139</v>
      </c>
      <c r="AS12">
        <v>24.14483651476186</v>
      </c>
      <c r="AT12">
        <v>24.230941505585569</v>
      </c>
      <c r="AU12">
        <v>24.317046496409279</v>
      </c>
      <c r="AV12">
        <v>24.403151487233</v>
      </c>
      <c r="AW12">
        <v>24.48925647805671</v>
      </c>
      <c r="AX12" s="5">
        <v>24.57536146888042</v>
      </c>
      <c r="AY12">
        <v>24.66146645970413</v>
      </c>
      <c r="AZ12">
        <v>24.74757145052784</v>
      </c>
      <c r="BA12">
        <v>24.83367644135155</v>
      </c>
      <c r="BB12">
        <v>24.91978143217527</v>
      </c>
      <c r="BC12">
        <v>25.00588642299898</v>
      </c>
      <c r="BD12">
        <v>25.09199141382269</v>
      </c>
      <c r="BE12">
        <v>25.178096404646411</v>
      </c>
      <c r="BF12">
        <v>25.26420139547011</v>
      </c>
      <c r="BG12" s="3">
        <f t="shared" si="0"/>
        <v>5.6256499841626943E-2</v>
      </c>
      <c r="BH12" s="2">
        <f t="shared" si="1"/>
        <v>5.6183404254261278E-2</v>
      </c>
      <c r="BJ12" s="3">
        <v>0.06</v>
      </c>
      <c r="BL12">
        <f t="shared" si="2"/>
        <v>1.0013010174149446</v>
      </c>
    </row>
    <row r="13" spans="1:64" x14ac:dyDescent="0.25">
      <c r="A13" t="s">
        <v>69</v>
      </c>
      <c r="B13">
        <v>3</v>
      </c>
      <c r="C13">
        <v>5</v>
      </c>
      <c r="D13">
        <v>7</v>
      </c>
      <c r="H13">
        <v>3</v>
      </c>
      <c r="I13">
        <v>3.25</v>
      </c>
      <c r="J13">
        <v>3.5</v>
      </c>
      <c r="K13">
        <v>3.75</v>
      </c>
      <c r="L13">
        <v>4</v>
      </c>
      <c r="M13">
        <v>4.25</v>
      </c>
      <c r="N13">
        <v>4.5</v>
      </c>
      <c r="O13">
        <v>4.75</v>
      </c>
      <c r="P13">
        <v>5</v>
      </c>
      <c r="Q13">
        <v>5.25</v>
      </c>
      <c r="R13">
        <v>5.5</v>
      </c>
      <c r="S13">
        <v>5.75</v>
      </c>
      <c r="T13">
        <v>6</v>
      </c>
      <c r="U13">
        <v>6.25</v>
      </c>
      <c r="V13">
        <v>6.5</v>
      </c>
      <c r="W13">
        <v>6.75</v>
      </c>
      <c r="X13">
        <v>7</v>
      </c>
      <c r="Y13">
        <v>-40</v>
      </c>
      <c r="Z13">
        <v>-35</v>
      </c>
      <c r="AA13">
        <v>-30</v>
      </c>
      <c r="AB13">
        <v>-25</v>
      </c>
      <c r="AC13">
        <v>-20</v>
      </c>
      <c r="AD13">
        <v>-15</v>
      </c>
      <c r="AE13">
        <v>-10</v>
      </c>
      <c r="AF13">
        <v>-5</v>
      </c>
      <c r="AG13">
        <v>0</v>
      </c>
      <c r="AH13">
        <v>5</v>
      </c>
      <c r="AI13">
        <v>10</v>
      </c>
      <c r="AJ13">
        <v>15</v>
      </c>
      <c r="AK13">
        <v>20</v>
      </c>
      <c r="AL13">
        <v>25</v>
      </c>
      <c r="AM13">
        <v>30</v>
      </c>
      <c r="AN13">
        <v>35</v>
      </c>
      <c r="AO13">
        <v>40</v>
      </c>
      <c r="AP13">
        <v>24.67343753018287</v>
      </c>
      <c r="AQ13">
        <v>24.647002121200639</v>
      </c>
      <c r="AR13">
        <v>24.622488275492209</v>
      </c>
      <c r="AS13">
        <v>24.599580818269441</v>
      </c>
      <c r="AT13">
        <v>24.618608793743959</v>
      </c>
      <c r="AU13">
        <v>24.59627865507106</v>
      </c>
      <c r="AV13">
        <v>24.575287198476211</v>
      </c>
      <c r="AW13">
        <v>24.55546820358893</v>
      </c>
      <c r="AX13" s="5">
        <v>24.57536146888042</v>
      </c>
      <c r="AY13">
        <v>24.555994691553028</v>
      </c>
      <c r="AZ13">
        <v>24.537630454364219</v>
      </c>
      <c r="BA13">
        <v>24.52016638237215</v>
      </c>
      <c r="BB13">
        <v>24.5405940684029</v>
      </c>
      <c r="BC13">
        <v>24.52347178487047</v>
      </c>
      <c r="BD13">
        <v>24.507134513056901</v>
      </c>
      <c r="BE13">
        <v>24.49151342029252</v>
      </c>
      <c r="BF13">
        <v>24.512252516964971</v>
      </c>
      <c r="BG13" s="3">
        <f t="shared" si="0"/>
        <v>3.0245973562042045E-5</v>
      </c>
      <c r="BH13" s="2">
        <f t="shared" si="1"/>
        <v>3.0196334292135545E-5</v>
      </c>
      <c r="BJ13" s="3">
        <v>-0.01</v>
      </c>
      <c r="BL13">
        <f t="shared" si="2"/>
        <v>1.001643883970361</v>
      </c>
    </row>
    <row r="14" spans="1:64" x14ac:dyDescent="0.25">
      <c r="A14" t="s">
        <v>70</v>
      </c>
      <c r="B14">
        <v>623</v>
      </c>
      <c r="C14">
        <v>723</v>
      </c>
      <c r="D14">
        <v>823</v>
      </c>
      <c r="H14">
        <v>623</v>
      </c>
      <c r="I14">
        <v>635.5</v>
      </c>
      <c r="J14">
        <v>648</v>
      </c>
      <c r="K14">
        <v>660.5</v>
      </c>
      <c r="L14">
        <v>673</v>
      </c>
      <c r="M14">
        <v>685.5</v>
      </c>
      <c r="N14">
        <v>698</v>
      </c>
      <c r="O14">
        <v>710.5</v>
      </c>
      <c r="P14">
        <v>723</v>
      </c>
      <c r="Q14">
        <v>735.5</v>
      </c>
      <c r="R14">
        <v>748</v>
      </c>
      <c r="S14">
        <v>760.5</v>
      </c>
      <c r="T14">
        <v>773</v>
      </c>
      <c r="U14">
        <v>785.5</v>
      </c>
      <c r="V14">
        <v>798</v>
      </c>
      <c r="W14">
        <v>810.5</v>
      </c>
      <c r="X14">
        <v>823</v>
      </c>
      <c r="Y14">
        <v>-13.83125864453665</v>
      </c>
      <c r="Z14">
        <v>-12.102351313969571</v>
      </c>
      <c r="AA14">
        <v>-10.37344398340249</v>
      </c>
      <c r="AB14">
        <v>-8.6445366528354075</v>
      </c>
      <c r="AC14">
        <v>-6.9156293222683267</v>
      </c>
      <c r="AD14">
        <v>-5.186721991701245</v>
      </c>
      <c r="AE14">
        <v>-3.4578146611341629</v>
      </c>
      <c r="AF14">
        <v>-1.7289073305670819</v>
      </c>
      <c r="AG14">
        <v>0</v>
      </c>
      <c r="AH14">
        <v>1.7289073305670819</v>
      </c>
      <c r="AI14">
        <v>3.4578146611341629</v>
      </c>
      <c r="AJ14">
        <v>5.186721991701245</v>
      </c>
      <c r="AK14">
        <v>6.9156293222683267</v>
      </c>
      <c r="AL14">
        <v>8.6445366528354075</v>
      </c>
      <c r="AM14">
        <v>10.37344398340249</v>
      </c>
      <c r="AN14">
        <v>12.102351313969571</v>
      </c>
      <c r="AO14">
        <v>13.83125864453665</v>
      </c>
      <c r="AP14">
        <v>25.38132084388041</v>
      </c>
      <c r="AQ14">
        <v>25.280575922005418</v>
      </c>
      <c r="AR14">
        <v>25.17983100013041</v>
      </c>
      <c r="AS14">
        <v>25.079086078255411</v>
      </c>
      <c r="AT14">
        <v>24.978341156380409</v>
      </c>
      <c r="AU14">
        <v>24.877596234505418</v>
      </c>
      <c r="AV14">
        <v>24.776851312630409</v>
      </c>
      <c r="AW14">
        <v>24.676106390755411</v>
      </c>
      <c r="AX14" s="5">
        <v>24.57536146888042</v>
      </c>
      <c r="AY14">
        <v>24.474616547005422</v>
      </c>
      <c r="AZ14">
        <v>24.37387162513042</v>
      </c>
      <c r="BA14">
        <v>24.273126703255421</v>
      </c>
      <c r="BB14">
        <v>24.17238178138042</v>
      </c>
      <c r="BC14">
        <v>24.071636859505421</v>
      </c>
      <c r="BD14">
        <v>23.970891937630419</v>
      </c>
      <c r="BE14">
        <v>23.870147015755421</v>
      </c>
      <c r="BF14">
        <v>23.769402093880419</v>
      </c>
      <c r="BG14" s="3">
        <f t="shared" si="0"/>
        <v>-0.23614285774974364</v>
      </c>
      <c r="BH14" s="2">
        <f t="shared" si="1"/>
        <v>-0.23612063914596981</v>
      </c>
      <c r="BJ14" s="3">
        <v>-0.24</v>
      </c>
      <c r="BL14">
        <f t="shared" si="2"/>
        <v>1.000094098524611</v>
      </c>
    </row>
    <row r="15" spans="1:64" x14ac:dyDescent="0.25">
      <c r="A15" t="s">
        <v>71</v>
      </c>
      <c r="B15">
        <v>173</v>
      </c>
      <c r="C15">
        <v>273</v>
      </c>
      <c r="D15">
        <v>373</v>
      </c>
      <c r="H15">
        <v>173</v>
      </c>
      <c r="I15">
        <v>185.5</v>
      </c>
      <c r="J15">
        <v>198</v>
      </c>
      <c r="K15">
        <v>210.5</v>
      </c>
      <c r="L15">
        <v>223</v>
      </c>
      <c r="M15">
        <v>235.5</v>
      </c>
      <c r="N15">
        <v>248</v>
      </c>
      <c r="O15">
        <v>260.5</v>
      </c>
      <c r="P15">
        <v>273</v>
      </c>
      <c r="Q15">
        <v>285.5</v>
      </c>
      <c r="R15">
        <v>298</v>
      </c>
      <c r="S15">
        <v>310.5</v>
      </c>
      <c r="T15">
        <v>323</v>
      </c>
      <c r="U15">
        <v>335.5</v>
      </c>
      <c r="V15">
        <v>348</v>
      </c>
      <c r="W15">
        <v>360.5</v>
      </c>
      <c r="X15">
        <v>373</v>
      </c>
      <c r="Y15">
        <v>-36.630036630036628</v>
      </c>
      <c r="Z15">
        <v>-32.051282051282051</v>
      </c>
      <c r="AA15">
        <v>-27.472527472527471</v>
      </c>
      <c r="AB15">
        <v>-22.893772893772891</v>
      </c>
      <c r="AC15">
        <v>-18.31501831501831</v>
      </c>
      <c r="AD15">
        <v>-13.736263736263741</v>
      </c>
      <c r="AE15">
        <v>-9.1575091575091569</v>
      </c>
      <c r="AF15">
        <v>-4.5787545787545776</v>
      </c>
      <c r="AG15">
        <v>0</v>
      </c>
      <c r="AH15">
        <v>4.5787545787545776</v>
      </c>
      <c r="AI15">
        <v>9.1575091575091569</v>
      </c>
      <c r="AJ15">
        <v>13.736263736263741</v>
      </c>
      <c r="AK15">
        <v>18.31501831501831</v>
      </c>
      <c r="AL15">
        <v>22.893772893772891</v>
      </c>
      <c r="AM15">
        <v>27.472527472527471</v>
      </c>
      <c r="AN15">
        <v>32.051282051282051</v>
      </c>
      <c r="AO15">
        <v>36.630036630036628</v>
      </c>
      <c r="AP15">
        <v>25.140964550053791</v>
      </c>
      <c r="AQ15">
        <v>25.07840126368361</v>
      </c>
      <c r="AR15">
        <v>25.013217412690899</v>
      </c>
      <c r="AS15">
        <v>24.945571712496509</v>
      </c>
      <c r="AT15">
        <v>24.875613873559519</v>
      </c>
      <c r="AU15">
        <v>24.803484986336279</v>
      </c>
      <c r="AV15">
        <v>24.729317897141939</v>
      </c>
      <c r="AW15">
        <v>24.653237574914311</v>
      </c>
      <c r="AX15" s="5">
        <v>24.57536146888042</v>
      </c>
      <c r="AY15">
        <v>24.495799857125309</v>
      </c>
      <c r="AZ15">
        <v>24.414656186063489</v>
      </c>
      <c r="BA15">
        <v>24.332027400812791</v>
      </c>
      <c r="BB15">
        <v>24.24800426647068</v>
      </c>
      <c r="BC15">
        <v>24.162671680293041</v>
      </c>
      <c r="BD15">
        <v>24.076108974775511</v>
      </c>
      <c r="BE15">
        <v>23.988390211637231</v>
      </c>
      <c r="BF15">
        <v>23.899584466707029</v>
      </c>
      <c r="BG15" s="3">
        <f t="shared" si="0"/>
        <v>-6.8194053276251582E-2</v>
      </c>
      <c r="BH15" s="2">
        <f t="shared" si="1"/>
        <v>-6.8149073872983912E-2</v>
      </c>
      <c r="BJ15" s="3">
        <v>-7.0000000000000007E-2</v>
      </c>
      <c r="BL15">
        <f t="shared" si="2"/>
        <v>1.0006600148866513</v>
      </c>
    </row>
    <row r="16" spans="1:64" x14ac:dyDescent="0.25">
      <c r="A16" t="s">
        <v>72</v>
      </c>
      <c r="B16">
        <v>0.5</v>
      </c>
      <c r="C16">
        <v>0.6</v>
      </c>
      <c r="D16">
        <v>0.7</v>
      </c>
      <c r="H16">
        <v>0.5</v>
      </c>
      <c r="I16">
        <v>0.51249999999999996</v>
      </c>
      <c r="J16">
        <v>0.52500000000000002</v>
      </c>
      <c r="K16">
        <v>0.53749999999999998</v>
      </c>
      <c r="L16">
        <v>0.55000000000000004</v>
      </c>
      <c r="M16">
        <v>0.5625</v>
      </c>
      <c r="N16">
        <v>0.57499999999999996</v>
      </c>
      <c r="O16">
        <v>0.58750000000000002</v>
      </c>
      <c r="P16">
        <v>0.6</v>
      </c>
      <c r="Q16">
        <v>0.61249999999999993</v>
      </c>
      <c r="R16">
        <v>0.625</v>
      </c>
      <c r="S16">
        <v>0.63749999999999996</v>
      </c>
      <c r="T16">
        <v>0.64999999999999991</v>
      </c>
      <c r="U16">
        <v>0.66249999999999998</v>
      </c>
      <c r="V16">
        <v>0.67499999999999993</v>
      </c>
      <c r="W16">
        <v>0.6875</v>
      </c>
      <c r="X16">
        <v>0.7</v>
      </c>
      <c r="Y16">
        <v>-16.666666666666661</v>
      </c>
      <c r="Z16">
        <v>-14.583333333333339</v>
      </c>
      <c r="AA16">
        <v>-12.499999999999989</v>
      </c>
      <c r="AB16">
        <v>-10.41666666666667</v>
      </c>
      <c r="AC16">
        <v>-8.3333333333333233</v>
      </c>
      <c r="AD16">
        <v>-6.2499999999999956</v>
      </c>
      <c r="AE16">
        <v>-4.1666666666666714</v>
      </c>
      <c r="AF16">
        <v>-2.0833333333333259</v>
      </c>
      <c r="AG16">
        <v>0</v>
      </c>
      <c r="AH16">
        <v>2.0833333333333259</v>
      </c>
      <c r="AI16">
        <v>4.1666666666666714</v>
      </c>
      <c r="AJ16">
        <v>6.2499999999999956</v>
      </c>
      <c r="AK16">
        <v>8.3333333333333233</v>
      </c>
      <c r="AL16">
        <v>10.41666666666667</v>
      </c>
      <c r="AM16">
        <v>12.499999999999989</v>
      </c>
      <c r="AN16">
        <v>14.583333333333339</v>
      </c>
      <c r="AO16">
        <v>16.666666666666661</v>
      </c>
      <c r="AP16">
        <v>26.433975701090159</v>
      </c>
      <c r="AQ16">
        <v>26.161983374425319</v>
      </c>
      <c r="AR16">
        <v>25.902943063315941</v>
      </c>
      <c r="AS16">
        <v>25.655951138769801</v>
      </c>
      <c r="AT16">
        <v>25.420186119884839</v>
      </c>
      <c r="AU16">
        <v>25.194899546283661</v>
      </c>
      <c r="AV16">
        <v>24.97940804109993</v>
      </c>
      <c r="AW16">
        <v>24.7730863872006</v>
      </c>
      <c r="AX16" s="5">
        <v>24.57536146888042</v>
      </c>
      <c r="AY16">
        <v>24.38570695538963</v>
      </c>
      <c r="AZ16">
        <v>24.203638622438469</v>
      </c>
      <c r="BA16">
        <v>24.028710224112849</v>
      </c>
      <c r="BB16">
        <v>23.860509841107451</v>
      </c>
      <c r="BC16">
        <v>23.698656642366391</v>
      </c>
      <c r="BD16">
        <v>23.54279800654168</v>
      </c>
      <c r="BE16">
        <v>23.392606957474221</v>
      </c>
      <c r="BF16">
        <v>23.247779874444891</v>
      </c>
      <c r="BG16" s="3">
        <f t="shared" si="0"/>
        <v>-0.39143761022358703</v>
      </c>
      <c r="BH16" s="2">
        <f t="shared" si="1"/>
        <v>-0.39132174736388697</v>
      </c>
      <c r="BJ16" s="3">
        <v>-0.39</v>
      </c>
      <c r="BL16">
        <f t="shared" si="2"/>
        <v>1.0002960808094121</v>
      </c>
    </row>
    <row r="17" spans="1:64" x14ac:dyDescent="0.25">
      <c r="A17" t="s">
        <v>73</v>
      </c>
      <c r="B17">
        <v>0.15</v>
      </c>
      <c r="C17">
        <v>0.2</v>
      </c>
      <c r="D17">
        <v>0.25</v>
      </c>
      <c r="H17">
        <v>0.15</v>
      </c>
      <c r="I17">
        <v>0.15625</v>
      </c>
      <c r="J17">
        <v>0.16250000000000001</v>
      </c>
      <c r="K17">
        <v>0.16875000000000001</v>
      </c>
      <c r="L17">
        <v>0.17499999999999999</v>
      </c>
      <c r="M17">
        <v>0.18124999999999999</v>
      </c>
      <c r="N17">
        <v>0.1875</v>
      </c>
      <c r="O17">
        <v>0.19375000000000001</v>
      </c>
      <c r="P17">
        <v>0.2</v>
      </c>
      <c r="Q17">
        <v>0.20624999999999999</v>
      </c>
      <c r="R17">
        <v>0.21249999999999999</v>
      </c>
      <c r="S17">
        <v>0.21875</v>
      </c>
      <c r="T17">
        <v>0.22500000000000001</v>
      </c>
      <c r="U17">
        <v>0.23125000000000001</v>
      </c>
      <c r="V17">
        <v>0.23749999999999999</v>
      </c>
      <c r="W17">
        <v>0.24374999999999999</v>
      </c>
      <c r="X17">
        <v>0.25</v>
      </c>
      <c r="Y17">
        <v>-25.000000000000011</v>
      </c>
      <c r="Z17">
        <v>-21.875000000000011</v>
      </c>
      <c r="AA17">
        <v>-18.75</v>
      </c>
      <c r="AB17">
        <v>-15.625</v>
      </c>
      <c r="AC17">
        <v>-12.500000000000011</v>
      </c>
      <c r="AD17">
        <v>-9.3750000000000089</v>
      </c>
      <c r="AE17">
        <v>-6.2500000000000053</v>
      </c>
      <c r="AF17">
        <v>-3.1250000000000031</v>
      </c>
      <c r="AG17">
        <v>0</v>
      </c>
      <c r="AH17">
        <v>3.1249999999999889</v>
      </c>
      <c r="AI17">
        <v>6.249999999999992</v>
      </c>
      <c r="AJ17">
        <v>9.3749999999999947</v>
      </c>
      <c r="AK17">
        <v>12.5</v>
      </c>
      <c r="AL17">
        <v>15.625</v>
      </c>
      <c r="AM17">
        <v>18.749999999999989</v>
      </c>
      <c r="AN17">
        <v>21.874999999999989</v>
      </c>
      <c r="AO17">
        <v>24.999999999999989</v>
      </c>
      <c r="AP17">
        <v>24.964944802213751</v>
      </c>
      <c r="AQ17">
        <v>24.902611468880409</v>
      </c>
      <c r="AR17">
        <v>24.845073007341949</v>
      </c>
      <c r="AS17">
        <v>24.7917966540656</v>
      </c>
      <c r="AT17">
        <v>24.742325754594699</v>
      </c>
      <c r="AU17">
        <v>24.696266641294201</v>
      </c>
      <c r="AV17">
        <v>24.65327813554708</v>
      </c>
      <c r="AW17">
        <v>24.61306308178364</v>
      </c>
      <c r="AX17" s="5">
        <v>24.57536146888042</v>
      </c>
      <c r="AY17">
        <v>24.53994480221375</v>
      </c>
      <c r="AZ17">
        <v>24.506611468880411</v>
      </c>
      <c r="BA17">
        <v>24.475182897451841</v>
      </c>
      <c r="BB17">
        <v>24.445500357769301</v>
      </c>
      <c r="BC17">
        <v>24.41742227969123</v>
      </c>
      <c r="BD17">
        <v>24.390821995196209</v>
      </c>
      <c r="BE17">
        <v>24.365585827854769</v>
      </c>
      <c r="BF17">
        <v>24.341611468880419</v>
      </c>
      <c r="BG17" s="3">
        <f t="shared" si="0"/>
        <v>-5.065061030901219E-2</v>
      </c>
      <c r="BH17" s="2">
        <f t="shared" si="1"/>
        <v>-5.0631575263669876E-2</v>
      </c>
      <c r="BJ17" s="3">
        <v>-0.05</v>
      </c>
      <c r="BL17">
        <f t="shared" si="2"/>
        <v>1.0003759520663378</v>
      </c>
    </row>
    <row r="18" spans="1:64" x14ac:dyDescent="0.25">
      <c r="A18" t="s">
        <v>74</v>
      </c>
      <c r="B18">
        <v>183</v>
      </c>
      <c r="C18">
        <v>233</v>
      </c>
      <c r="D18">
        <v>283</v>
      </c>
      <c r="H18">
        <v>183</v>
      </c>
      <c r="I18">
        <v>189.25</v>
      </c>
      <c r="J18">
        <v>195.5</v>
      </c>
      <c r="K18">
        <v>201.75</v>
      </c>
      <c r="L18">
        <v>208</v>
      </c>
      <c r="M18">
        <v>214.25</v>
      </c>
      <c r="N18">
        <v>220.5</v>
      </c>
      <c r="O18">
        <v>226.75</v>
      </c>
      <c r="P18">
        <v>233</v>
      </c>
      <c r="Q18">
        <v>239.25</v>
      </c>
      <c r="R18">
        <v>245.5</v>
      </c>
      <c r="S18">
        <v>251.75</v>
      </c>
      <c r="T18">
        <v>258</v>
      </c>
      <c r="U18">
        <v>264.25</v>
      </c>
      <c r="V18">
        <v>270.5</v>
      </c>
      <c r="W18">
        <v>276.75</v>
      </c>
      <c r="X18">
        <v>283</v>
      </c>
      <c r="Y18">
        <v>-21.459227467811161</v>
      </c>
      <c r="Z18">
        <v>-18.776824034334759</v>
      </c>
      <c r="AA18">
        <v>-16.094420600858371</v>
      </c>
      <c r="AB18">
        <v>-13.41201716738197</v>
      </c>
      <c r="AC18">
        <v>-10.72961373390558</v>
      </c>
      <c r="AD18">
        <v>-8.0472103004291853</v>
      </c>
      <c r="AE18">
        <v>-5.3648068669527902</v>
      </c>
      <c r="AF18">
        <v>-2.6824034334763951</v>
      </c>
      <c r="AG18">
        <v>0</v>
      </c>
      <c r="AH18">
        <v>2.6824034334763951</v>
      </c>
      <c r="AI18">
        <v>5.3648068669527902</v>
      </c>
      <c r="AJ18">
        <v>8.0472103004291853</v>
      </c>
      <c r="AK18">
        <v>10.72961373390558</v>
      </c>
      <c r="AL18">
        <v>13.41201716738197</v>
      </c>
      <c r="AM18">
        <v>16.094420600858371</v>
      </c>
      <c r="AN18">
        <v>18.776824034334759</v>
      </c>
      <c r="AO18">
        <v>21.459227467811161</v>
      </c>
      <c r="AP18">
        <v>24.19341702443597</v>
      </c>
      <c r="AQ18">
        <v>24.241160079991531</v>
      </c>
      <c r="AR18">
        <v>24.288903135547081</v>
      </c>
      <c r="AS18">
        <v>24.336646191102641</v>
      </c>
      <c r="AT18">
        <v>24.384389246658191</v>
      </c>
      <c r="AU18">
        <v>24.432132302213748</v>
      </c>
      <c r="AV18">
        <v>24.479875357769298</v>
      </c>
      <c r="AW18">
        <v>24.527618413324859</v>
      </c>
      <c r="AX18" s="5">
        <v>24.57536146888042</v>
      </c>
      <c r="AY18">
        <v>24.62310452443597</v>
      </c>
      <c r="AZ18">
        <v>24.67084757999152</v>
      </c>
      <c r="BA18">
        <v>24.718590635547081</v>
      </c>
      <c r="BB18">
        <v>24.766333691102631</v>
      </c>
      <c r="BC18">
        <v>24.814076746658191</v>
      </c>
      <c r="BD18">
        <v>24.861819802213748</v>
      </c>
      <c r="BE18">
        <v>24.909562857769298</v>
      </c>
      <c r="BF18">
        <v>24.957305913324859</v>
      </c>
      <c r="BG18" s="3">
        <f t="shared" si="0"/>
        <v>7.2565590393577559E-2</v>
      </c>
      <c r="BH18" s="2">
        <f t="shared" si="1"/>
        <v>7.2548274333785301E-2</v>
      </c>
      <c r="BJ18" s="3">
        <v>7.0000000000000007E-2</v>
      </c>
      <c r="BL18">
        <f t="shared" si="2"/>
        <v>1.0002386832760843</v>
      </c>
    </row>
    <row r="19" spans="1:64" x14ac:dyDescent="0.25">
      <c r="A19" t="s">
        <v>75</v>
      </c>
      <c r="B19">
        <v>330</v>
      </c>
      <c r="C19">
        <v>340</v>
      </c>
      <c r="D19">
        <v>350</v>
      </c>
      <c r="H19">
        <v>330</v>
      </c>
      <c r="I19">
        <v>331.25</v>
      </c>
      <c r="J19">
        <v>332.5</v>
      </c>
      <c r="K19">
        <v>333.75</v>
      </c>
      <c r="L19">
        <v>335</v>
      </c>
      <c r="M19">
        <v>336.25</v>
      </c>
      <c r="N19">
        <v>337.5</v>
      </c>
      <c r="O19">
        <v>338.75</v>
      </c>
      <c r="P19">
        <v>340</v>
      </c>
      <c r="Q19">
        <v>341.25</v>
      </c>
      <c r="R19">
        <v>342.5</v>
      </c>
      <c r="S19">
        <v>343.75</v>
      </c>
      <c r="T19">
        <v>345</v>
      </c>
      <c r="U19">
        <v>346.25</v>
      </c>
      <c r="V19">
        <v>347.5</v>
      </c>
      <c r="W19">
        <v>348.75</v>
      </c>
      <c r="X19">
        <v>350</v>
      </c>
      <c r="Y19">
        <v>-2.9411764705882351</v>
      </c>
      <c r="Z19">
        <v>-2.5735294117647061</v>
      </c>
      <c r="AA19">
        <v>-2.2058823529411771</v>
      </c>
      <c r="AB19">
        <v>-1.838235294117647</v>
      </c>
      <c r="AC19">
        <v>-1.470588235294118</v>
      </c>
      <c r="AD19">
        <v>-1.1029411764705881</v>
      </c>
      <c r="AE19">
        <v>-0.73529411764705876</v>
      </c>
      <c r="AF19">
        <v>-0.36764705882352938</v>
      </c>
      <c r="AG19">
        <v>0</v>
      </c>
      <c r="AH19">
        <v>0.36764705882352938</v>
      </c>
      <c r="AI19">
        <v>0.73529411764705876</v>
      </c>
      <c r="AJ19">
        <v>1.1029411764705881</v>
      </c>
      <c r="AK19">
        <v>1.470588235294118</v>
      </c>
      <c r="AL19">
        <v>1.838235294117647</v>
      </c>
      <c r="AM19">
        <v>2.2058823529411771</v>
      </c>
      <c r="AN19">
        <v>2.5735294117647061</v>
      </c>
      <c r="AO19">
        <v>2.9411764705882351</v>
      </c>
      <c r="AP19">
        <v>24.551189593880419</v>
      </c>
      <c r="AQ19">
        <v>24.55421107825542</v>
      </c>
      <c r="AR19">
        <v>24.557232562630411</v>
      </c>
      <c r="AS19">
        <v>24.560254047005419</v>
      </c>
      <c r="AT19">
        <v>24.563275531380409</v>
      </c>
      <c r="AU19">
        <v>24.566297015755421</v>
      </c>
      <c r="AV19">
        <v>24.569318500130422</v>
      </c>
      <c r="AW19">
        <v>24.572339984505419</v>
      </c>
      <c r="AX19" s="5">
        <v>24.57536146888042</v>
      </c>
      <c r="AY19">
        <v>24.57838295325541</v>
      </c>
      <c r="AZ19">
        <v>24.581404437630411</v>
      </c>
      <c r="BA19">
        <v>24.584425922005419</v>
      </c>
      <c r="BB19">
        <v>24.58744740638042</v>
      </c>
      <c r="BC19">
        <v>24.590468890755421</v>
      </c>
      <c r="BD19">
        <v>24.593490375130411</v>
      </c>
      <c r="BE19">
        <v>24.596511859505419</v>
      </c>
      <c r="BF19">
        <v>24.59953334388041</v>
      </c>
      <c r="BG19" s="3">
        <f t="shared" si="0"/>
        <v>3.3445888772416547E-2</v>
      </c>
      <c r="BH19" s="2">
        <f t="shared" si="1"/>
        <v>3.3445738250697694E-2</v>
      </c>
      <c r="BJ19" s="3">
        <v>0.03</v>
      </c>
      <c r="BL19">
        <f t="shared" si="2"/>
        <v>1.0000045004752989</v>
      </c>
    </row>
    <row r="20" spans="1:64" x14ac:dyDescent="0.25">
      <c r="A20" t="s">
        <v>76</v>
      </c>
      <c r="B20">
        <v>1.4999999999999999E-2</v>
      </c>
      <c r="C20">
        <v>2.5000000000000001E-2</v>
      </c>
      <c r="D20">
        <v>3.5000000000000003E-2</v>
      </c>
      <c r="H20">
        <v>1.4999999999999999E-2</v>
      </c>
      <c r="I20">
        <v>1.6250000000000001E-2</v>
      </c>
      <c r="J20">
        <v>1.7500000000000002E-2</v>
      </c>
      <c r="K20">
        <v>1.8749999999999999E-2</v>
      </c>
      <c r="L20">
        <v>0.02</v>
      </c>
      <c r="M20">
        <v>2.1250000000000002E-2</v>
      </c>
      <c r="N20">
        <v>2.2499999999999999E-2</v>
      </c>
      <c r="O20">
        <v>2.375E-2</v>
      </c>
      <c r="P20">
        <v>2.5000000000000001E-2</v>
      </c>
      <c r="Q20">
        <v>2.6249999999999999E-2</v>
      </c>
      <c r="R20">
        <v>2.75E-2</v>
      </c>
      <c r="S20">
        <v>2.8750000000000001E-2</v>
      </c>
      <c r="T20">
        <v>0.03</v>
      </c>
      <c r="U20">
        <v>3.125E-2</v>
      </c>
      <c r="V20">
        <v>3.2500000000000001E-2</v>
      </c>
      <c r="W20">
        <v>3.3750000000000002E-2</v>
      </c>
      <c r="X20">
        <v>3.5000000000000003E-2</v>
      </c>
      <c r="Y20">
        <v>-40.000000000000007</v>
      </c>
      <c r="Z20">
        <v>-35</v>
      </c>
      <c r="AA20">
        <v>-30</v>
      </c>
      <c r="AB20">
        <v>-25.000000000000011</v>
      </c>
      <c r="AC20">
        <v>-20</v>
      </c>
      <c r="AD20">
        <v>-15</v>
      </c>
      <c r="AE20">
        <v>-10.000000000000011</v>
      </c>
      <c r="AF20">
        <v>-5.0000000000000044</v>
      </c>
      <c r="AG20">
        <v>0</v>
      </c>
      <c r="AH20">
        <v>5.0000000000000044</v>
      </c>
      <c r="AI20">
        <v>10.000000000000011</v>
      </c>
      <c r="AJ20">
        <v>15</v>
      </c>
      <c r="AK20">
        <v>20</v>
      </c>
      <c r="AL20">
        <v>24.999999999999989</v>
      </c>
      <c r="AM20">
        <v>30</v>
      </c>
      <c r="AN20">
        <v>35</v>
      </c>
      <c r="AO20">
        <v>40.000000000000007</v>
      </c>
      <c r="AP20">
        <v>24.802938886999851</v>
      </c>
      <c r="AQ20">
        <v>24.767855652141069</v>
      </c>
      <c r="AR20">
        <v>24.734739394870662</v>
      </c>
      <c r="AS20">
        <v>24.70361655281032</v>
      </c>
      <c r="AT20">
        <v>24.674445369813139</v>
      </c>
      <c r="AU20">
        <v>24.647143272157841</v>
      </c>
      <c r="AV20">
        <v>24.621605476359701</v>
      </c>
      <c r="AW20">
        <v>24.597717208063489</v>
      </c>
      <c r="AX20" s="5">
        <v>24.57536146888042</v>
      </c>
      <c r="AY20">
        <v>24.554423789798388</v>
      </c>
      <c r="AZ20">
        <v>24.534794988045569</v>
      </c>
      <c r="BA20">
        <v>24.516372625310051</v>
      </c>
      <c r="BB20">
        <v>24.499061637345111</v>
      </c>
      <c r="BC20">
        <v>24.482774447347111</v>
      </c>
      <c r="BD20">
        <v>24.467430768505569</v>
      </c>
      <c r="BE20">
        <v>24.452957229378669</v>
      </c>
      <c r="BF20">
        <v>24.439286908018101</v>
      </c>
      <c r="BG20" s="3">
        <f t="shared" si="0"/>
        <v>-1.8800121608082188E-2</v>
      </c>
      <c r="BH20" s="2">
        <f t="shared" si="1"/>
        <v>-1.8783864761979699E-2</v>
      </c>
      <c r="BJ20" s="3">
        <v>-0.02</v>
      </c>
      <c r="BL20">
        <f t="shared" si="2"/>
        <v>1.0008654686513392</v>
      </c>
    </row>
    <row r="21" spans="1:64" x14ac:dyDescent="0.25">
      <c r="A21" t="s">
        <v>77</v>
      </c>
      <c r="B21">
        <v>4.0000000000000001E-3</v>
      </c>
      <c r="C21">
        <v>6.0000000000000001E-3</v>
      </c>
      <c r="D21">
        <v>8.0000000000000002E-3</v>
      </c>
      <c r="H21">
        <v>4.0000000000000001E-3</v>
      </c>
      <c r="I21">
        <v>4.2500000000000003E-3</v>
      </c>
      <c r="J21">
        <v>4.5000000000000014E-3</v>
      </c>
      <c r="K21">
        <v>4.7499999999999999E-3</v>
      </c>
      <c r="L21">
        <v>5.0000000000000001E-3</v>
      </c>
      <c r="M21">
        <v>5.2500000000000003E-3</v>
      </c>
      <c r="N21">
        <v>5.4999999999999997E-3</v>
      </c>
      <c r="O21">
        <v>5.7499999999999999E-3</v>
      </c>
      <c r="P21">
        <v>6.0000000000000001E-3</v>
      </c>
      <c r="Q21">
        <v>6.2500000000000003E-3</v>
      </c>
      <c r="R21">
        <v>6.5000000000000006E-3</v>
      </c>
      <c r="S21">
        <v>6.7499999999999999E-3</v>
      </c>
      <c r="T21">
        <v>7.0000000000000001E-3</v>
      </c>
      <c r="U21">
        <v>7.2500000000000004E-3</v>
      </c>
      <c r="V21">
        <v>7.4999999999999997E-3</v>
      </c>
      <c r="W21">
        <v>7.7499999999999999E-3</v>
      </c>
      <c r="X21">
        <v>8.0000000000000002E-3</v>
      </c>
      <c r="Y21">
        <v>-33.333333333333329</v>
      </c>
      <c r="Z21">
        <v>-29.166666666666661</v>
      </c>
      <c r="AA21">
        <v>-24.999999999999989</v>
      </c>
      <c r="AB21">
        <v>-20.833333333333339</v>
      </c>
      <c r="AC21">
        <v>-16.666666666666661</v>
      </c>
      <c r="AD21">
        <v>-12.5</v>
      </c>
      <c r="AE21">
        <v>-8.333333333333341</v>
      </c>
      <c r="AF21">
        <v>-4.1666666666666714</v>
      </c>
      <c r="AG21">
        <v>0</v>
      </c>
      <c r="AH21">
        <v>4.1666666666666714</v>
      </c>
      <c r="AI21">
        <v>8.333333333333341</v>
      </c>
      <c r="AJ21">
        <v>12.5</v>
      </c>
      <c r="AK21">
        <v>16.666666666666661</v>
      </c>
      <c r="AL21">
        <v>20.833333333333339</v>
      </c>
      <c r="AM21">
        <v>24.999999999999989</v>
      </c>
      <c r="AN21">
        <v>29.166666666666661</v>
      </c>
      <c r="AO21">
        <v>33.333333333333329</v>
      </c>
      <c r="AP21">
        <v>24.407274888551139</v>
      </c>
      <c r="AQ21">
        <v>24.430199270131251</v>
      </c>
      <c r="AR21">
        <v>24.452568332892231</v>
      </c>
      <c r="AS21">
        <v>24.474385879368018</v>
      </c>
      <c r="AT21">
        <v>24.495656104537741</v>
      </c>
      <c r="AU21">
        <v>24.516383597653672</v>
      </c>
      <c r="AV21">
        <v>24.53657334188944</v>
      </c>
      <c r="AW21">
        <v>24.5562307118376</v>
      </c>
      <c r="AX21" s="5">
        <v>24.57536146888042</v>
      </c>
      <c r="AY21">
        <v>24.593971754461251</v>
      </c>
      <c r="AZ21">
        <v>24.61206808129354</v>
      </c>
      <c r="BA21">
        <v>24.629657322558369</v>
      </c>
      <c r="BB21">
        <v>24.646746699158701</v>
      </c>
      <c r="BC21">
        <v>24.663343765115059</v>
      </c>
      <c r="BD21">
        <v>24.67945639120865</v>
      </c>
      <c r="BE21">
        <v>24.695092746994199</v>
      </c>
      <c r="BF21">
        <v>24.71026128132392</v>
      </c>
      <c r="BG21" s="3">
        <f t="shared" si="0"/>
        <v>1.895476261620958E-2</v>
      </c>
      <c r="BH21" s="2">
        <f t="shared" si="1"/>
        <v>1.8943995409517158E-2</v>
      </c>
      <c r="BJ21" s="3">
        <v>0.02</v>
      </c>
      <c r="BL21">
        <f t="shared" si="2"/>
        <v>1.0005683704234332</v>
      </c>
    </row>
    <row r="22" spans="1:64" x14ac:dyDescent="0.25">
      <c r="A22" t="s">
        <v>78</v>
      </c>
      <c r="B22">
        <v>0.03</v>
      </c>
      <c r="C22">
        <v>5.5E-2</v>
      </c>
      <c r="D22">
        <v>0.08</v>
      </c>
      <c r="H22">
        <v>0.03</v>
      </c>
      <c r="I22">
        <v>3.3125000000000002E-2</v>
      </c>
      <c r="J22">
        <v>3.6249999999999998E-2</v>
      </c>
      <c r="K22">
        <v>3.9375E-2</v>
      </c>
      <c r="L22">
        <v>4.2500000000000003E-2</v>
      </c>
      <c r="M22">
        <v>4.5624999999999999E-2</v>
      </c>
      <c r="N22">
        <v>4.8750000000000002E-2</v>
      </c>
      <c r="O22">
        <v>5.1874999999999998E-2</v>
      </c>
      <c r="P22">
        <v>5.5E-2</v>
      </c>
      <c r="Q22">
        <v>5.8125000000000003E-2</v>
      </c>
      <c r="R22">
        <v>6.1249999999999999E-2</v>
      </c>
      <c r="S22">
        <v>6.4375000000000002E-2</v>
      </c>
      <c r="T22">
        <v>6.7500000000000004E-2</v>
      </c>
      <c r="U22">
        <v>7.0624999999999993E-2</v>
      </c>
      <c r="V22">
        <v>7.375000000000001E-2</v>
      </c>
      <c r="W22">
        <v>7.6874999999999999E-2</v>
      </c>
      <c r="X22">
        <v>0.08</v>
      </c>
      <c r="Y22">
        <v>-45.45454545454546</v>
      </c>
      <c r="Z22">
        <v>-39.772727272727273</v>
      </c>
      <c r="AA22">
        <v>-34.090909090909093</v>
      </c>
      <c r="AB22">
        <v>-28.40909090909091</v>
      </c>
      <c r="AC22">
        <v>-22.72727272727273</v>
      </c>
      <c r="AD22">
        <v>-17.04545454545455</v>
      </c>
      <c r="AE22">
        <v>-11.36363636363636</v>
      </c>
      <c r="AF22">
        <v>-5.6818181818181737</v>
      </c>
      <c r="AG22">
        <v>0</v>
      </c>
      <c r="AH22">
        <v>5.6818181818181737</v>
      </c>
      <c r="AI22">
        <v>11.36363636363636</v>
      </c>
      <c r="AJ22">
        <v>17.04545454545455</v>
      </c>
      <c r="AK22">
        <v>22.72727272727273</v>
      </c>
      <c r="AL22">
        <v>28.409090909090899</v>
      </c>
      <c r="AM22">
        <v>34.090909090909108</v>
      </c>
      <c r="AN22">
        <v>39.772727272727273</v>
      </c>
      <c r="AO22">
        <v>45.45454545454546</v>
      </c>
      <c r="AP22">
        <v>24.662141553428661</v>
      </c>
      <c r="AQ22">
        <v>24.648006443991012</v>
      </c>
      <c r="AR22">
        <v>24.635110846064531</v>
      </c>
      <c r="AS22">
        <v>24.623262735092251</v>
      </c>
      <c r="AT22">
        <v>24.61231110458797</v>
      </c>
      <c r="AU22">
        <v>24.602135092066451</v>
      </c>
      <c r="AV22">
        <v>24.59263648157361</v>
      </c>
      <c r="AW22">
        <v>24.583734398302749</v>
      </c>
      <c r="AX22" s="5">
        <v>24.57536146888042</v>
      </c>
      <c r="AY22">
        <v>24.56746098707027</v>
      </c>
      <c r="AZ22">
        <v>24.55998478487</v>
      </c>
      <c r="BA22">
        <v>24.552891608466169</v>
      </c>
      <c r="BB22">
        <v>24.54614586199887</v>
      </c>
      <c r="BC22">
        <v>24.539716623600501</v>
      </c>
      <c r="BD22">
        <v>24.533576865909641</v>
      </c>
      <c r="BE22">
        <v>24.527702832163559</v>
      </c>
      <c r="BF22">
        <v>24.522073532083809</v>
      </c>
      <c r="BG22" s="3">
        <f t="shared" si="0"/>
        <v>-6.1837680653826577E-3</v>
      </c>
      <c r="BH22" s="2">
        <f t="shared" si="1"/>
        <v>-6.1770417374663548E-3</v>
      </c>
      <c r="BJ22" s="3">
        <v>-0.01</v>
      </c>
      <c r="BL22">
        <f t="shared" si="2"/>
        <v>1.0010889238250578</v>
      </c>
    </row>
    <row r="23" spans="1:64" x14ac:dyDescent="0.25">
      <c r="A23" t="s">
        <v>79</v>
      </c>
      <c r="B23">
        <v>0.15</v>
      </c>
      <c r="C23">
        <v>0.2</v>
      </c>
      <c r="D23">
        <v>0.25</v>
      </c>
      <c r="H23">
        <v>0.15</v>
      </c>
      <c r="I23">
        <v>0.15625</v>
      </c>
      <c r="J23">
        <v>0.16250000000000001</v>
      </c>
      <c r="K23">
        <v>0.16875000000000001</v>
      </c>
      <c r="L23">
        <v>0.17499999999999999</v>
      </c>
      <c r="M23">
        <v>0.18124999999999999</v>
      </c>
      <c r="N23">
        <v>0.1875</v>
      </c>
      <c r="O23">
        <v>0.19375000000000001</v>
      </c>
      <c r="P23">
        <v>0.2</v>
      </c>
      <c r="Q23">
        <v>0.20624999999999999</v>
      </c>
      <c r="R23">
        <v>0.21249999999999999</v>
      </c>
      <c r="S23">
        <v>0.21875</v>
      </c>
      <c r="T23">
        <v>0.22500000000000001</v>
      </c>
      <c r="U23">
        <v>0.23125000000000001</v>
      </c>
      <c r="V23">
        <v>0.23749999999999999</v>
      </c>
      <c r="W23">
        <v>0.24374999999999999</v>
      </c>
      <c r="X23">
        <v>0.25</v>
      </c>
      <c r="Y23">
        <v>-25.000000000000011</v>
      </c>
      <c r="Z23">
        <v>-21.875000000000011</v>
      </c>
      <c r="AA23">
        <v>-18.75</v>
      </c>
      <c r="AB23">
        <v>-15.625</v>
      </c>
      <c r="AC23">
        <v>-12.500000000000011</v>
      </c>
      <c r="AD23">
        <v>-9.3750000000000089</v>
      </c>
      <c r="AE23">
        <v>-6.2500000000000053</v>
      </c>
      <c r="AF23">
        <v>-3.1250000000000031</v>
      </c>
      <c r="AG23">
        <v>0</v>
      </c>
      <c r="AH23">
        <v>3.1249999999999889</v>
      </c>
      <c r="AI23">
        <v>6.249999999999992</v>
      </c>
      <c r="AJ23">
        <v>9.3749999999999947</v>
      </c>
      <c r="AK23">
        <v>12.5</v>
      </c>
      <c r="AL23">
        <v>15.625</v>
      </c>
      <c r="AM23">
        <v>18.749999999999989</v>
      </c>
      <c r="AN23">
        <v>21.874999999999989</v>
      </c>
      <c r="AO23">
        <v>24.999999999999989</v>
      </c>
      <c r="AP23">
        <v>24.37129578282925</v>
      </c>
      <c r="AQ23">
        <v>24.354970527945159</v>
      </c>
      <c r="AR23">
        <v>24.339901061898299</v>
      </c>
      <c r="AS23">
        <v>24.32594785259565</v>
      </c>
      <c r="AT23">
        <v>24.31299130110034</v>
      </c>
      <c r="AU23">
        <v>24.300928304880571</v>
      </c>
      <c r="AV23">
        <v>24.289669508408782</v>
      </c>
      <c r="AW23">
        <v>24.279137085902921</v>
      </c>
      <c r="AX23" s="5">
        <v>24.269262939803671</v>
      </c>
      <c r="AY23">
        <v>24.259987226801339</v>
      </c>
      <c r="AZ23">
        <v>24.251257143975621</v>
      </c>
      <c r="BA23">
        <v>24.243025923025659</v>
      </c>
      <c r="BB23">
        <v>24.235251992128472</v>
      </c>
      <c r="BC23">
        <v>24.22789827371221</v>
      </c>
      <c r="BD23">
        <v>24.220931593107341</v>
      </c>
      <c r="BE23">
        <v>24.214322178174509</v>
      </c>
      <c r="BF23">
        <v>24.20804323398832</v>
      </c>
      <c r="BG23" s="3">
        <f t="shared" si="0"/>
        <v>-1.3447969609733462E-2</v>
      </c>
      <c r="BH23" s="2">
        <f t="shared" si="1"/>
        <v>-1.3443409421759405E-2</v>
      </c>
      <c r="BJ23" s="3">
        <v>-0.01</v>
      </c>
      <c r="BL23">
        <f t="shared" si="2"/>
        <v>1.0003392136496769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Dorian Leger</cp:lastModifiedBy>
  <dcterms:created xsi:type="dcterms:W3CDTF">2024-04-04T09:13:26Z</dcterms:created>
  <dcterms:modified xsi:type="dcterms:W3CDTF">2024-04-04T12:05:53Z</dcterms:modified>
</cp:coreProperties>
</file>