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262872d75759d81f/Desktop/R2O2_April_Gitlinked_2024/Space_resources_LEIA/data/"/>
    </mc:Choice>
  </mc:AlternateContent>
  <xr:revisionPtr revIDLastSave="4" documentId="11_2D89B69B5BD0D60D07382D11595ED87656CCEA25" xr6:coauthVersionLast="47" xr6:coauthVersionMax="47" xr10:uidLastSave="{BFB0ECA1-EEBB-49C2-8AC6-706173F49CF6}"/>
  <bookViews>
    <workbookView minimized="1" xWindow="2640" yWindow="2640" windowWidth="2160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4" i="1" l="1"/>
  <c r="C28" i="1"/>
</calcChain>
</file>

<file path=xl/sharedStrings.xml><?xml version="1.0" encoding="utf-8"?>
<sst xmlns="http://schemas.openxmlformats.org/spreadsheetml/2006/main" count="74" uniqueCount="74">
  <si>
    <t>Parameter</t>
  </si>
  <si>
    <t>Low Value</t>
  </si>
  <si>
    <t>Mid Value</t>
  </si>
  <si>
    <t>High Value</t>
  </si>
  <si>
    <t>Model Results (low)</t>
  </si>
  <si>
    <t>Model Results (high)</t>
  </si>
  <si>
    <t>Output Range</t>
  </si>
  <si>
    <t>PVI_1</t>
  </si>
  <si>
    <t>PVI_2</t>
  </si>
  <si>
    <t>PVI_3</t>
  </si>
  <si>
    <t>PVI_4</t>
  </si>
  <si>
    <t>PVI_5</t>
  </si>
  <si>
    <t>PVI_6</t>
  </si>
  <si>
    <t>PVI_7</t>
  </si>
  <si>
    <t>PVI_8</t>
  </si>
  <si>
    <t>PVI_9</t>
  </si>
  <si>
    <t>PVI_10</t>
  </si>
  <si>
    <t>PVI_11</t>
  </si>
  <si>
    <t>PVI_12</t>
  </si>
  <si>
    <t>PVI_13</t>
  </si>
  <si>
    <t>PVI_14</t>
  </si>
  <si>
    <t>PVI_15</t>
  </si>
  <si>
    <t>PCM_1</t>
  </si>
  <si>
    <t>PCM_2</t>
  </si>
  <si>
    <t>PCM_3</t>
  </si>
  <si>
    <t>PCM_4</t>
  </si>
  <si>
    <t>PCM_5</t>
  </si>
  <si>
    <t>PCM_6</t>
  </si>
  <si>
    <t>PCM_7</t>
  </si>
  <si>
    <t>PCM_8</t>
  </si>
  <si>
    <t>PCM_9</t>
  </si>
  <si>
    <t>PCM_10</t>
  </si>
  <si>
    <t>PCM_11</t>
  </si>
  <si>
    <t>PCM_12</t>
  </si>
  <si>
    <t>PCM_13</t>
  </si>
  <si>
    <t>PCM_14</t>
  </si>
  <si>
    <t>PCM_15</t>
  </si>
  <si>
    <t>MRL_1</t>
  </si>
  <si>
    <t>MRL_2</t>
  </si>
  <si>
    <t>MRL_3</t>
  </si>
  <si>
    <t>MRL_4</t>
  </si>
  <si>
    <t>MRL_5</t>
  </si>
  <si>
    <t>MRL_6</t>
  </si>
  <si>
    <t>MRL_7</t>
  </si>
  <si>
    <t>MRL_8</t>
  </si>
  <si>
    <t>MRL_9</t>
  </si>
  <si>
    <t>MRL_10</t>
  </si>
  <si>
    <t>MRL_11</t>
  </si>
  <si>
    <t>MRL_12</t>
  </si>
  <si>
    <t>MRL_13</t>
  </si>
  <si>
    <t>MRL_14</t>
  </si>
  <si>
    <t>MRL_15</t>
  </si>
  <si>
    <t>cohCoeff</t>
  </si>
  <si>
    <t>intAngle</t>
  </si>
  <si>
    <t>extAngle</t>
  </si>
  <si>
    <t>enrichment_factor</t>
  </si>
  <si>
    <t>benef_ilmenite_recovery</t>
  </si>
  <si>
    <t>motor_efficiency</t>
  </si>
  <si>
    <t>mRover</t>
  </si>
  <si>
    <t>batch_reaction_time_in_hours</t>
  </si>
  <si>
    <t>CFI_thickness</t>
  </si>
  <si>
    <t>HTMLI_thickness</t>
  </si>
  <si>
    <t>delta_T_insulation</t>
  </si>
  <si>
    <t>reactor_heat_up_time_in_hours</t>
  </si>
  <si>
    <t>T_pre_heater</t>
  </si>
  <si>
    <t>T_regolith_in</t>
  </si>
  <si>
    <t>system_efficiency</t>
  </si>
  <si>
    <t>cryocooler_efficiency</t>
  </si>
  <si>
    <t>T_hot_reservoir_carnot_cycle</t>
  </si>
  <si>
    <t>T_of_incoming_oxygen</t>
  </si>
  <si>
    <t>vip_thickness</t>
  </si>
  <si>
    <t>vip_thermal_conductivity</t>
  </si>
  <si>
    <t>vip_emissivity</t>
  </si>
  <si>
    <t>cryocooler_efficiency_storage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</si>
</sst>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8"/>
  <sheetViews>
    <sheetView tabSelected="1" topLeftCell="X1" workbookViewId="0">
      <selection activeCell="AS25" sqref="AS25"/>
    </sheetView>
  </sheetViews>
  <sheetFormatPr defaultRowHeight="15" x14ac:dyDescent="0.25"/>
  <cols>
    <col min="1" max="1" width="29.42578125" customWidth="1"/>
  </cols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>
        <v>100</v>
      </c>
      <c r="C2">
        <v>1100</v>
      </c>
      <c r="D2">
        <v>2100</v>
      </c>
      <c r="H2">
        <v>100</v>
      </c>
      <c r="I2">
        <v>242.85714285714289</v>
      </c>
      <c r="J2">
        <v>385.71428571428572</v>
      </c>
      <c r="K2">
        <v>528.57142857142856</v>
      </c>
      <c r="L2">
        <v>671.42857142857144</v>
      </c>
      <c r="M2">
        <v>814.28571428571433</v>
      </c>
      <c r="N2">
        <v>957.14285714285711</v>
      </c>
      <c r="O2">
        <v>1100</v>
      </c>
      <c r="P2">
        <v>1242.8571428571429</v>
      </c>
      <c r="Q2">
        <v>1385.714285714286</v>
      </c>
      <c r="R2">
        <v>1528.5714285714289</v>
      </c>
      <c r="S2">
        <v>1671.428571428572</v>
      </c>
      <c r="T2">
        <v>1814.285714285714</v>
      </c>
      <c r="U2">
        <v>1957.1428571428571</v>
      </c>
      <c r="V2">
        <v>2100</v>
      </c>
      <c r="W2">
        <v>-90.909090909090907</v>
      </c>
      <c r="X2">
        <v>-77.922077922077918</v>
      </c>
      <c r="Y2">
        <v>-64.935064935064929</v>
      </c>
      <c r="Z2">
        <v>-51.948051948051948</v>
      </c>
      <c r="AA2">
        <v>-38.961038961038959</v>
      </c>
      <c r="AB2">
        <v>-25.97402597402597</v>
      </c>
      <c r="AC2">
        <v>-12.98701298701299</v>
      </c>
      <c r="AD2">
        <v>0</v>
      </c>
      <c r="AE2">
        <v>12.98701298701299</v>
      </c>
      <c r="AF2">
        <v>25.974025974025981</v>
      </c>
      <c r="AG2">
        <v>38.961038961038973</v>
      </c>
      <c r="AH2">
        <v>51.948051948051969</v>
      </c>
      <c r="AI2">
        <v>64.935064935064929</v>
      </c>
      <c r="AJ2">
        <v>77.922077922077918</v>
      </c>
      <c r="AK2">
        <v>90.909090909090907</v>
      </c>
      <c r="AL2">
        <v>24.574714576624899</v>
      </c>
      <c r="AM2">
        <v>24.574806989804259</v>
      </c>
      <c r="AN2">
        <v>24.574899402983611</v>
      </c>
      <c r="AO2">
        <v>24.574991816162971</v>
      </c>
      <c r="AP2">
        <v>24.575084229342341</v>
      </c>
      <c r="AQ2">
        <v>24.575176642521701</v>
      </c>
      <c r="AR2">
        <v>24.57526905570105</v>
      </c>
      <c r="AS2">
        <v>24.57536146888042</v>
      </c>
      <c r="AT2">
        <v>24.575453882059779</v>
      </c>
      <c r="AU2">
        <v>24.575546295239139</v>
      </c>
      <c r="AV2">
        <v>24.575638708418499</v>
      </c>
      <c r="AW2">
        <v>24.575731121597862</v>
      </c>
      <c r="AX2">
        <v>24.575823534777221</v>
      </c>
      <c r="AY2">
        <v>24.575915947956581</v>
      </c>
      <c r="AZ2">
        <v>24.576008361135941</v>
      </c>
    </row>
    <row r="3" spans="1:52" x14ac:dyDescent="0.25">
      <c r="A3" t="s">
        <v>53</v>
      </c>
      <c r="B3">
        <v>40</v>
      </c>
      <c r="C3">
        <v>45</v>
      </c>
      <c r="D3">
        <v>50</v>
      </c>
      <c r="H3">
        <v>40</v>
      </c>
      <c r="I3">
        <v>40.714285714285722</v>
      </c>
      <c r="J3">
        <v>41.428571428571431</v>
      </c>
      <c r="K3">
        <v>42.142857142857153</v>
      </c>
      <c r="L3">
        <v>42.857142857142847</v>
      </c>
      <c r="M3">
        <v>43.571428571428569</v>
      </c>
      <c r="N3">
        <v>44.285714285714278</v>
      </c>
      <c r="O3">
        <v>45</v>
      </c>
      <c r="P3">
        <v>45.714285714285722</v>
      </c>
      <c r="Q3">
        <v>46.428571428571431</v>
      </c>
      <c r="R3">
        <v>47.142857142857153</v>
      </c>
      <c r="S3">
        <v>47.857142857142861</v>
      </c>
      <c r="T3">
        <v>48.571428571428569</v>
      </c>
      <c r="U3">
        <v>49.285714285714278</v>
      </c>
      <c r="V3">
        <v>50</v>
      </c>
      <c r="W3">
        <v>-11.111111111111111</v>
      </c>
      <c r="X3">
        <v>-9.5238095238095219</v>
      </c>
      <c r="Y3">
        <v>-7.9365079365079323</v>
      </c>
      <c r="Z3">
        <v>-6.3492063492063417</v>
      </c>
      <c r="AA3">
        <v>-4.761904761904769</v>
      </c>
      <c r="AB3">
        <v>-3.1746031746031789</v>
      </c>
      <c r="AC3">
        <v>-1.5873015873015901</v>
      </c>
      <c r="AD3">
        <v>0</v>
      </c>
      <c r="AE3">
        <v>1.5873015873015901</v>
      </c>
      <c r="AF3">
        <v>3.1746031746031789</v>
      </c>
      <c r="AG3">
        <v>4.761904761904769</v>
      </c>
      <c r="AH3">
        <v>6.3492063492063586</v>
      </c>
      <c r="AI3">
        <v>7.9365079365079323</v>
      </c>
      <c r="AJ3">
        <v>9.5238095238095219</v>
      </c>
      <c r="AK3">
        <v>11.111111111111111</v>
      </c>
      <c r="AL3">
        <v>24.575342173163509</v>
      </c>
      <c r="AM3">
        <v>24.575342534666781</v>
      </c>
      <c r="AN3">
        <v>24.575343663031049</v>
      </c>
      <c r="AO3">
        <v>24.57534557364804</v>
      </c>
      <c r="AP3">
        <v>24.575348285300919</v>
      </c>
      <c r="AQ3">
        <v>24.575351820328279</v>
      </c>
      <c r="AR3">
        <v>24.57535620482458</v>
      </c>
      <c r="AS3">
        <v>24.57536146888042</v>
      </c>
      <c r="AT3">
        <v>24.57536764686677</v>
      </c>
      <c r="AU3">
        <v>24.57537477776831</v>
      </c>
      <c r="AV3">
        <v>24.575382905571839</v>
      </c>
      <c r="AW3">
        <v>24.5753920797173</v>
      </c>
      <c r="AX3">
        <v>24.575402355620039</v>
      </c>
      <c r="AY3">
        <v>24.575413795274969</v>
      </c>
      <c r="AZ3">
        <v>24.575426467955211</v>
      </c>
    </row>
    <row r="4" spans="1:52" x14ac:dyDescent="0.25">
      <c r="A4" t="s">
        <v>54</v>
      </c>
      <c r="B4">
        <v>10</v>
      </c>
      <c r="C4">
        <v>12.5</v>
      </c>
      <c r="D4">
        <v>15</v>
      </c>
      <c r="H4">
        <v>10</v>
      </c>
      <c r="I4">
        <v>10.357142857142859</v>
      </c>
      <c r="J4">
        <v>10.71428571428571</v>
      </c>
      <c r="K4">
        <v>11.071428571428569</v>
      </c>
      <c r="L4">
        <v>11.428571428571431</v>
      </c>
      <c r="M4">
        <v>11.78571428571429</v>
      </c>
      <c r="N4">
        <v>12.142857142857141</v>
      </c>
      <c r="O4">
        <v>12.5</v>
      </c>
      <c r="P4">
        <v>12.857142857142859</v>
      </c>
      <c r="Q4">
        <v>13.214285714285721</v>
      </c>
      <c r="R4">
        <v>13.571428571428569</v>
      </c>
      <c r="S4">
        <v>13.928571428571431</v>
      </c>
      <c r="T4">
        <v>14.285714285714279</v>
      </c>
      <c r="U4">
        <v>14.642857142857141</v>
      </c>
      <c r="V4">
        <v>15</v>
      </c>
      <c r="W4">
        <v>-20</v>
      </c>
      <c r="X4">
        <v>-17.142857142857139</v>
      </c>
      <c r="Y4">
        <v>-14.28571428571429</v>
      </c>
      <c r="Z4">
        <v>-11.428571428571431</v>
      </c>
      <c r="AA4">
        <v>-8.5714285714285694</v>
      </c>
      <c r="AB4">
        <v>-5.7142857142857082</v>
      </c>
      <c r="AC4">
        <v>-2.8571428571428612</v>
      </c>
      <c r="AD4">
        <v>0</v>
      </c>
      <c r="AE4">
        <v>2.8571428571428612</v>
      </c>
      <c r="AF4">
        <v>5.7142857142857224</v>
      </c>
      <c r="AG4">
        <v>8.5714285714285694</v>
      </c>
      <c r="AH4">
        <v>11.428571428571431</v>
      </c>
      <c r="AI4">
        <v>14.285714285714279</v>
      </c>
      <c r="AJ4">
        <v>17.142857142857139</v>
      </c>
      <c r="AK4">
        <v>20</v>
      </c>
      <c r="AL4">
        <v>24.575182531301781</v>
      </c>
      <c r="AM4">
        <v>24.575206575182062</v>
      </c>
      <c r="AN4">
        <v>24.57523111639663</v>
      </c>
      <c r="AO4">
        <v>24.575256160297119</v>
      </c>
      <c r="AP4">
        <v>24.57528171221071</v>
      </c>
      <c r="AQ4">
        <v>24.575307777437558</v>
      </c>
      <c r="AR4">
        <v>24.575334361248132</v>
      </c>
      <c r="AS4">
        <v>24.57536146888042</v>
      </c>
      <c r="AT4">
        <v>24.575389105537159</v>
      </c>
      <c r="AU4">
        <v>24.5754172763829</v>
      </c>
      <c r="AV4">
        <v>24.575445986541041</v>
      </c>
      <c r="AW4">
        <v>24.575475241090739</v>
      </c>
      <c r="AX4">
        <v>24.575505045063739</v>
      </c>
      <c r="AY4">
        <v>24.575535403441211</v>
      </c>
      <c r="AZ4">
        <v>24.57556632115034</v>
      </c>
    </row>
    <row r="5" spans="1:52" x14ac:dyDescent="0.25">
      <c r="A5" t="s">
        <v>55</v>
      </c>
      <c r="B5">
        <v>1.5</v>
      </c>
      <c r="C5">
        <v>6</v>
      </c>
      <c r="D5">
        <v>10.5</v>
      </c>
      <c r="H5">
        <v>1.5</v>
      </c>
      <c r="I5">
        <v>2.1428571428571428</v>
      </c>
      <c r="J5">
        <v>2.785714285714286</v>
      </c>
      <c r="K5">
        <v>3.4285714285714288</v>
      </c>
      <c r="L5">
        <v>4.0714285714285712</v>
      </c>
      <c r="M5">
        <v>4.7142857142857144</v>
      </c>
      <c r="N5">
        <v>5.3571428571428577</v>
      </c>
      <c r="O5">
        <v>6</v>
      </c>
      <c r="P5">
        <v>6.6428571428571432</v>
      </c>
      <c r="Q5">
        <v>7.2857142857142856</v>
      </c>
      <c r="R5">
        <v>7.9285714285714288</v>
      </c>
      <c r="S5">
        <v>8.571428571428573</v>
      </c>
      <c r="T5">
        <v>9.2142857142857153</v>
      </c>
      <c r="U5">
        <v>9.8571428571428577</v>
      </c>
      <c r="V5">
        <v>10.5</v>
      </c>
      <c r="W5">
        <v>-75</v>
      </c>
      <c r="X5">
        <v>-64.285714285714292</v>
      </c>
      <c r="Y5">
        <v>-53.571428571428569</v>
      </c>
      <c r="Z5">
        <v>-42.857142857142847</v>
      </c>
      <c r="AA5">
        <v>-32.142857142857153</v>
      </c>
      <c r="AB5">
        <v>-21.428571428571431</v>
      </c>
      <c r="AC5">
        <v>-10.714285714285699</v>
      </c>
      <c r="AD5">
        <v>0</v>
      </c>
      <c r="AE5">
        <v>10.714285714285721</v>
      </c>
      <c r="AF5">
        <v>21.428571428571441</v>
      </c>
      <c r="AG5">
        <v>32.142857142857153</v>
      </c>
      <c r="AH5">
        <v>42.857142857142883</v>
      </c>
      <c r="AI5">
        <v>53.571428571428591</v>
      </c>
      <c r="AJ5">
        <v>64.285714285714292</v>
      </c>
      <c r="AK5">
        <v>75</v>
      </c>
      <c r="AL5">
        <v>53.734918628957239</v>
      </c>
      <c r="AM5">
        <v>41.998388713224742</v>
      </c>
      <c r="AN5">
        <v>35.809218594987342</v>
      </c>
      <c r="AO5">
        <v>31.834956154023889</v>
      </c>
      <c r="AP5">
        <v>29.205013319314219</v>
      </c>
      <c r="AQ5">
        <v>27.215214081659859</v>
      </c>
      <c r="AR5">
        <v>25.77082657596419</v>
      </c>
      <c r="AS5">
        <v>24.57536146888042</v>
      </c>
      <c r="AT5">
        <v>23.61127670510318</v>
      </c>
      <c r="AU5">
        <v>22.867221542964309</v>
      </c>
      <c r="AV5">
        <v>22.19797268081982</v>
      </c>
      <c r="AW5">
        <v>21.671523594823029</v>
      </c>
      <c r="AX5">
        <v>21.179079081917859</v>
      </c>
      <c r="AY5">
        <v>20.787746850544689</v>
      </c>
      <c r="AZ5">
        <v>20.746328710486491</v>
      </c>
    </row>
    <row r="6" spans="1:52" x14ac:dyDescent="0.25">
      <c r="A6" t="s">
        <v>56</v>
      </c>
      <c r="B6">
        <v>0.24</v>
      </c>
      <c r="C6">
        <v>0.505</v>
      </c>
      <c r="D6">
        <v>0.77</v>
      </c>
      <c r="H6">
        <v>0.24</v>
      </c>
      <c r="I6">
        <v>0.27785714285714291</v>
      </c>
      <c r="J6">
        <v>0.31571428571428573</v>
      </c>
      <c r="K6">
        <v>0.35357142857142848</v>
      </c>
      <c r="L6">
        <v>0.39142857142857151</v>
      </c>
      <c r="M6">
        <v>0.42928571428571433</v>
      </c>
      <c r="N6">
        <v>0.46714285714285708</v>
      </c>
      <c r="O6">
        <v>0.505</v>
      </c>
      <c r="P6">
        <v>0.54285714285714293</v>
      </c>
      <c r="Q6">
        <v>0.58071428571428574</v>
      </c>
      <c r="R6">
        <v>0.61857142857142855</v>
      </c>
      <c r="S6">
        <v>0.65642857142857147</v>
      </c>
      <c r="T6">
        <v>0.69428571428571428</v>
      </c>
      <c r="U6">
        <v>0.73214285714285721</v>
      </c>
      <c r="V6">
        <v>0.77</v>
      </c>
      <c r="W6">
        <v>-52.475247524752483</v>
      </c>
      <c r="X6">
        <v>-44.97878359264498</v>
      </c>
      <c r="Y6">
        <v>-37.482319660537478</v>
      </c>
      <c r="Z6">
        <v>-29.985855728429989</v>
      </c>
      <c r="AA6">
        <v>-22.489391796322479</v>
      </c>
      <c r="AB6">
        <v>-14.992927864215</v>
      </c>
      <c r="AC6">
        <v>-7.4964639321074982</v>
      </c>
      <c r="AD6">
        <v>0</v>
      </c>
      <c r="AE6">
        <v>7.4964639321075097</v>
      </c>
      <c r="AF6">
        <v>14.992927864215</v>
      </c>
      <c r="AG6">
        <v>22.489391796322479</v>
      </c>
      <c r="AH6">
        <v>29.985855728429989</v>
      </c>
      <c r="AI6">
        <v>37.482319660537478</v>
      </c>
      <c r="AJ6">
        <v>44.978783592644987</v>
      </c>
      <c r="AK6">
        <v>52.475247524752483</v>
      </c>
      <c r="AL6">
        <v>24.736722484059332</v>
      </c>
      <c r="AM6">
        <v>24.694826693485879</v>
      </c>
      <c r="AN6">
        <v>24.66297830970154</v>
      </c>
      <c r="AO6">
        <v>24.637949983858899</v>
      </c>
      <c r="AP6">
        <v>24.617762903525971</v>
      </c>
      <c r="AQ6">
        <v>24.60113627330168</v>
      </c>
      <c r="AR6">
        <v>24.587204479168779</v>
      </c>
      <c r="AS6">
        <v>24.57536146888042</v>
      </c>
      <c r="AT6">
        <v>24.565170246869119</v>
      </c>
      <c r="AU6">
        <v>24.556307769671101</v>
      </c>
      <c r="AV6">
        <v>24.54853007605621</v>
      </c>
      <c r="AW6">
        <v>24.541649483119429</v>
      </c>
      <c r="AX6">
        <v>24.535519242910311</v>
      </c>
      <c r="AY6">
        <v>24.53002295924966</v>
      </c>
      <c r="AZ6">
        <v>24.525067126486991</v>
      </c>
    </row>
    <row r="7" spans="1:52" x14ac:dyDescent="0.25">
      <c r="A7" t="s">
        <v>57</v>
      </c>
      <c r="B7">
        <v>0.4</v>
      </c>
      <c r="C7">
        <v>0.6</v>
      </c>
      <c r="D7">
        <v>0.8</v>
      </c>
      <c r="H7">
        <v>0.4</v>
      </c>
      <c r="I7">
        <v>0.4285714285714286</v>
      </c>
      <c r="J7">
        <v>0.45714285714285718</v>
      </c>
      <c r="K7">
        <v>0.48571428571428582</v>
      </c>
      <c r="L7">
        <v>0.51428571428571435</v>
      </c>
      <c r="M7">
        <v>0.54285714285714293</v>
      </c>
      <c r="N7">
        <v>0.5714285714285714</v>
      </c>
      <c r="O7">
        <v>0.60000000000000009</v>
      </c>
      <c r="P7">
        <v>0.62857142857142856</v>
      </c>
      <c r="Q7">
        <v>0.65714285714285725</v>
      </c>
      <c r="R7">
        <v>0.68571428571428572</v>
      </c>
      <c r="S7">
        <v>0.71428571428571441</v>
      </c>
      <c r="T7">
        <v>0.74285714285714288</v>
      </c>
      <c r="U7">
        <v>0.77142857142857146</v>
      </c>
      <c r="V7">
        <v>0.8</v>
      </c>
      <c r="W7">
        <v>-33.333333333333329</v>
      </c>
      <c r="X7">
        <v>-28.571428571428569</v>
      </c>
      <c r="Y7">
        <v>-23.8095238095238</v>
      </c>
      <c r="Z7">
        <v>-19.04761904761904</v>
      </c>
      <c r="AA7">
        <v>-14.28571428571427</v>
      </c>
      <c r="AB7">
        <v>-9.5238095238095095</v>
      </c>
      <c r="AC7">
        <v>-4.7619047619047636</v>
      </c>
      <c r="AD7">
        <v>1.8503717077085941E-14</v>
      </c>
      <c r="AE7">
        <v>4.7619047619047636</v>
      </c>
      <c r="AF7">
        <v>9.523809523809545</v>
      </c>
      <c r="AG7">
        <v>14.28571428571429</v>
      </c>
      <c r="AH7">
        <v>19.047619047619079</v>
      </c>
      <c r="AI7">
        <v>23.809523809523821</v>
      </c>
      <c r="AJ7">
        <v>28.57142857142858</v>
      </c>
      <c r="AK7">
        <v>33.33333333333335</v>
      </c>
      <c r="AL7">
        <v>24.648055836767568</v>
      </c>
      <c r="AM7">
        <v>24.633516963190139</v>
      </c>
      <c r="AN7">
        <v>24.62079544880989</v>
      </c>
      <c r="AO7">
        <v>24.609570583180261</v>
      </c>
      <c r="AP7">
        <v>24.599592924842799</v>
      </c>
      <c r="AQ7">
        <v>24.590665546330349</v>
      </c>
      <c r="AR7">
        <v>24.582630905669131</v>
      </c>
      <c r="AS7">
        <v>24.57536146888042</v>
      </c>
      <c r="AT7">
        <v>24.568752889981589</v>
      </c>
      <c r="AU7">
        <v>24.56271897011743</v>
      </c>
      <c r="AV7">
        <v>24.557187876908628</v>
      </c>
      <c r="AW7">
        <v>24.552099271156528</v>
      </c>
      <c r="AX7">
        <v>24.547402096616121</v>
      </c>
      <c r="AY7">
        <v>24.543052860930569</v>
      </c>
      <c r="AZ7">
        <v>24.53901428493684</v>
      </c>
    </row>
    <row r="8" spans="1:52" x14ac:dyDescent="0.25">
      <c r="A8" t="s">
        <v>58</v>
      </c>
      <c r="B8">
        <v>47</v>
      </c>
      <c r="C8">
        <v>67</v>
      </c>
      <c r="D8">
        <v>87</v>
      </c>
      <c r="H8">
        <v>47</v>
      </c>
      <c r="I8">
        <v>49.857142857142847</v>
      </c>
      <c r="J8">
        <v>52.714285714285722</v>
      </c>
      <c r="K8">
        <v>55.571428571428569</v>
      </c>
      <c r="L8">
        <v>58.428571428571431</v>
      </c>
      <c r="M8">
        <v>61.285714285714278</v>
      </c>
      <c r="N8">
        <v>64.142857142857139</v>
      </c>
      <c r="O8">
        <v>67</v>
      </c>
      <c r="P8">
        <v>69.857142857142861</v>
      </c>
      <c r="Q8">
        <v>72.714285714285722</v>
      </c>
      <c r="R8">
        <v>75.571428571428569</v>
      </c>
      <c r="S8">
        <v>78.428571428571431</v>
      </c>
      <c r="T8">
        <v>81.285714285714278</v>
      </c>
      <c r="U8">
        <v>84.142857142857139</v>
      </c>
      <c r="V8">
        <v>87</v>
      </c>
      <c r="W8">
        <v>-29.85074626865671</v>
      </c>
      <c r="X8">
        <v>-25.586353944562909</v>
      </c>
      <c r="Y8">
        <v>-21.321961620469079</v>
      </c>
      <c r="Z8">
        <v>-17.05756929637527</v>
      </c>
      <c r="AA8">
        <v>-12.793176972281451</v>
      </c>
      <c r="AB8">
        <v>-8.528784648187635</v>
      </c>
      <c r="AC8">
        <v>-4.2643923240938229</v>
      </c>
      <c r="AD8">
        <v>0</v>
      </c>
      <c r="AE8">
        <v>4.2643923240938229</v>
      </c>
      <c r="AF8">
        <v>8.5287846481876457</v>
      </c>
      <c r="AG8">
        <v>12.793176972281451</v>
      </c>
      <c r="AH8">
        <v>17.05756929637527</v>
      </c>
      <c r="AI8">
        <v>21.321961620469072</v>
      </c>
      <c r="AJ8">
        <v>25.586353944562891</v>
      </c>
      <c r="AK8">
        <v>29.85074626865671</v>
      </c>
      <c r="AL8">
        <v>24.551609958551051</v>
      </c>
      <c r="AM8">
        <v>24.555050070077179</v>
      </c>
      <c r="AN8">
        <v>24.558473293636819</v>
      </c>
      <c r="AO8">
        <v>24.561880425467152</v>
      </c>
      <c r="AP8">
        <v>24.565272184307709</v>
      </c>
      <c r="AQ8">
        <v>24.568649222601191</v>
      </c>
      <c r="AR8">
        <v>24.57201213560403</v>
      </c>
      <c r="AS8">
        <v>24.57536146888042</v>
      </c>
      <c r="AT8">
        <v>24.578697724519099</v>
      </c>
      <c r="AU8">
        <v>24.582021366342431</v>
      </c>
      <c r="AV8">
        <v>24.585332824293332</v>
      </c>
      <c r="AW8">
        <v>24.588632498172458</v>
      </c>
      <c r="AX8">
        <v>24.591920760832281</v>
      </c>
      <c r="AY8">
        <v>24.595197960928871</v>
      </c>
      <c r="AZ8">
        <v>24.598464425294249</v>
      </c>
    </row>
    <row r="9" spans="1:52" x14ac:dyDescent="0.25">
      <c r="A9" t="s">
        <v>59</v>
      </c>
      <c r="B9">
        <v>0.5</v>
      </c>
      <c r="C9">
        <v>2.5</v>
      </c>
      <c r="D9">
        <v>4.5</v>
      </c>
      <c r="H9">
        <v>0.5</v>
      </c>
      <c r="I9">
        <v>0.7857142857142857</v>
      </c>
      <c r="J9">
        <v>1.071428571428571</v>
      </c>
      <c r="K9">
        <v>1.357142857142857</v>
      </c>
      <c r="L9">
        <v>1.642857142857143</v>
      </c>
      <c r="M9">
        <v>1.9285714285714279</v>
      </c>
      <c r="N9">
        <v>2.214285714285714</v>
      </c>
      <c r="O9">
        <v>2.5</v>
      </c>
      <c r="P9">
        <v>2.785714285714286</v>
      </c>
      <c r="Q9">
        <v>3.0714285714285712</v>
      </c>
      <c r="R9">
        <v>3.3571428571428572</v>
      </c>
      <c r="S9">
        <v>3.6428571428571428</v>
      </c>
      <c r="T9">
        <v>3.9285714285714279</v>
      </c>
      <c r="U9">
        <v>4.2142857142857144</v>
      </c>
      <c r="V9">
        <v>4.5</v>
      </c>
      <c r="W9">
        <v>-80</v>
      </c>
      <c r="X9">
        <v>-68.571428571428569</v>
      </c>
      <c r="Y9">
        <v>-57.142857142857139</v>
      </c>
      <c r="Z9">
        <v>-45.714285714285722</v>
      </c>
      <c r="AA9">
        <v>-34.285714285714278</v>
      </c>
      <c r="AB9">
        <v>-22.857142857142861</v>
      </c>
      <c r="AC9">
        <v>-11.42857142857142</v>
      </c>
      <c r="AD9">
        <v>0</v>
      </c>
      <c r="AE9">
        <v>11.42857142857142</v>
      </c>
      <c r="AF9">
        <v>22.857142857142851</v>
      </c>
      <c r="AG9">
        <v>34.28571428571427</v>
      </c>
      <c r="AH9">
        <v>45.714285714285722</v>
      </c>
      <c r="AI9">
        <v>57.142857142857139</v>
      </c>
      <c r="AJ9">
        <v>68.571428571428541</v>
      </c>
      <c r="AK9">
        <v>80</v>
      </c>
      <c r="AL9">
        <v>21.308155744254989</v>
      </c>
      <c r="AM9">
        <v>21.933721219309241</v>
      </c>
      <c r="AN9">
        <v>22.491448468565199</v>
      </c>
      <c r="AO9">
        <v>22.993490168465929</v>
      </c>
      <c r="AP9">
        <v>23.44769189711544</v>
      </c>
      <c r="AQ9">
        <v>23.859812591703491</v>
      </c>
      <c r="AR9">
        <v>24.234427767582861</v>
      </c>
      <c r="AS9">
        <v>24.57536146888042</v>
      </c>
      <c r="AT9">
        <v>24.885917423689619</v>
      </c>
      <c r="AU9">
        <v>25.169013596616111</v>
      </c>
      <c r="AV9">
        <v>25.427265883878508</v>
      </c>
      <c r="AW9">
        <v>25.663043098904431</v>
      </c>
      <c r="AX9">
        <v>25.87850482214812</v>
      </c>
      <c r="AY9">
        <v>26.075628546311069</v>
      </c>
      <c r="AZ9">
        <v>26.256229876059422</v>
      </c>
    </row>
    <row r="10" spans="1:52" x14ac:dyDescent="0.25">
      <c r="A10" t="s">
        <v>60</v>
      </c>
      <c r="B10">
        <v>0.02</v>
      </c>
      <c r="C10">
        <v>0.06</v>
      </c>
      <c r="D10">
        <v>0.1</v>
      </c>
      <c r="H10">
        <v>0.02</v>
      </c>
      <c r="I10">
        <v>2.571428571428571E-2</v>
      </c>
      <c r="J10">
        <v>3.1428571428571431E-2</v>
      </c>
      <c r="K10">
        <v>3.7142857142857137E-2</v>
      </c>
      <c r="L10">
        <v>4.2857142857142858E-2</v>
      </c>
      <c r="M10">
        <v>4.8571428571428571E-2</v>
      </c>
      <c r="N10">
        <v>5.4285714285714277E-2</v>
      </c>
      <c r="O10">
        <v>0.06</v>
      </c>
      <c r="P10">
        <v>6.5714285714285711E-2</v>
      </c>
      <c r="Q10">
        <v>7.1428571428571425E-2</v>
      </c>
      <c r="R10">
        <v>7.7142857142857138E-2</v>
      </c>
      <c r="S10">
        <v>8.2857142857142865E-2</v>
      </c>
      <c r="T10">
        <v>8.8571428571428579E-2</v>
      </c>
      <c r="U10">
        <v>9.4285714285714292E-2</v>
      </c>
      <c r="V10">
        <v>0.1</v>
      </c>
      <c r="W10">
        <v>-66.666666666666657</v>
      </c>
      <c r="X10">
        <v>-57.142857142857139</v>
      </c>
      <c r="Y10">
        <v>-47.619047619047613</v>
      </c>
      <c r="Z10">
        <v>-38.095238095238088</v>
      </c>
      <c r="AA10">
        <v>-28.571428571428569</v>
      </c>
      <c r="AB10">
        <v>-19.047619047619051</v>
      </c>
      <c r="AC10">
        <v>-9.5238095238095237</v>
      </c>
      <c r="AD10">
        <v>0</v>
      </c>
      <c r="AE10">
        <v>9.5238095238095237</v>
      </c>
      <c r="AF10">
        <v>19.047619047619051</v>
      </c>
      <c r="AG10">
        <v>28.571428571428569</v>
      </c>
      <c r="AH10">
        <v>38.095238095238123</v>
      </c>
      <c r="AI10">
        <v>47.619047619047642</v>
      </c>
      <c r="AJ10">
        <v>57.14285714285716</v>
      </c>
      <c r="AK10">
        <v>66.666666666666686</v>
      </c>
      <c r="AL10">
        <v>23.681928145749328</v>
      </c>
      <c r="AM10">
        <v>23.805184414677949</v>
      </c>
      <c r="AN10">
        <v>23.9298997539094</v>
      </c>
      <c r="AO10">
        <v>24.056073608423588</v>
      </c>
      <c r="AP10">
        <v>24.183705978212728</v>
      </c>
      <c r="AQ10">
        <v>24.312797367145041</v>
      </c>
      <c r="AR10">
        <v>24.443348737415501</v>
      </c>
      <c r="AS10">
        <v>24.57536146888042</v>
      </c>
      <c r="AT10">
        <v>24.70883732267324</v>
      </c>
      <c r="AU10">
        <v>24.843778408581951</v>
      </c>
      <c r="AV10">
        <v>24.98018715574009</v>
      </c>
      <c r="AW10">
        <v>25.118066286243451</v>
      </c>
      <c r="AX10">
        <v>25.2574187913557</v>
      </c>
      <c r="AY10">
        <v>25.398247910009871</v>
      </c>
      <c r="AZ10">
        <v>25.54055710935031</v>
      </c>
    </row>
    <row r="11" spans="1:52" x14ac:dyDescent="0.25">
      <c r="A11" t="s">
        <v>61</v>
      </c>
      <c r="B11">
        <v>0.02</v>
      </c>
      <c r="C11">
        <v>0.06</v>
      </c>
      <c r="D11">
        <v>0.1</v>
      </c>
      <c r="H11">
        <v>0.02</v>
      </c>
      <c r="I11">
        <v>2.571428571428571E-2</v>
      </c>
      <c r="J11">
        <v>3.1428571428571431E-2</v>
      </c>
      <c r="K11">
        <v>3.7142857142857137E-2</v>
      </c>
      <c r="L11">
        <v>4.2857142857142858E-2</v>
      </c>
      <c r="M11">
        <v>4.8571428571428571E-2</v>
      </c>
      <c r="N11">
        <v>5.4285714285714277E-2</v>
      </c>
      <c r="O11">
        <v>0.06</v>
      </c>
      <c r="P11">
        <v>6.5714285714285711E-2</v>
      </c>
      <c r="Q11">
        <v>7.1428571428571425E-2</v>
      </c>
      <c r="R11">
        <v>7.7142857142857138E-2</v>
      </c>
      <c r="S11">
        <v>8.2857142857142865E-2</v>
      </c>
      <c r="T11">
        <v>8.8571428571428579E-2</v>
      </c>
      <c r="U11">
        <v>9.4285714285714292E-2</v>
      </c>
      <c r="V11">
        <v>0.1</v>
      </c>
      <c r="W11">
        <v>-66.666666666666657</v>
      </c>
      <c r="X11">
        <v>-57.142857142857139</v>
      </c>
      <c r="Y11">
        <v>-47.619047619047613</v>
      </c>
      <c r="Z11">
        <v>-38.095238095238088</v>
      </c>
      <c r="AA11">
        <v>-28.571428571428569</v>
      </c>
      <c r="AB11">
        <v>-19.047619047619051</v>
      </c>
      <c r="AC11">
        <v>-9.5238095238095237</v>
      </c>
      <c r="AD11">
        <v>0</v>
      </c>
      <c r="AE11">
        <v>9.5238095238095237</v>
      </c>
      <c r="AF11">
        <v>19.047619047619051</v>
      </c>
      <c r="AG11">
        <v>28.571428571428569</v>
      </c>
      <c r="AH11">
        <v>38.095238095238123</v>
      </c>
      <c r="AI11">
        <v>47.619047619047642</v>
      </c>
      <c r="AJ11">
        <v>57.14285714285716</v>
      </c>
      <c r="AK11">
        <v>66.666666666666686</v>
      </c>
      <c r="AL11">
        <v>24.732385167542411</v>
      </c>
      <c r="AM11">
        <v>24.692841526955331</v>
      </c>
      <c r="AN11">
        <v>24.661918490977261</v>
      </c>
      <c r="AO11">
        <v>24.637204470948362</v>
      </c>
      <c r="AP11">
        <v>24.617122149863349</v>
      </c>
      <c r="AQ11">
        <v>24.600594314516279</v>
      </c>
      <c r="AR11">
        <v>24.586859029575841</v>
      </c>
      <c r="AS11">
        <v>24.57536146888042</v>
      </c>
      <c r="AT11">
        <v>24.56568760335448</v>
      </c>
      <c r="AU11">
        <v>24.557521939133579</v>
      </c>
      <c r="AV11">
        <v>24.550619679517808</v>
      </c>
      <c r="AW11">
        <v>24.54478785942225</v>
      </c>
      <c r="AX11">
        <v>24.539872240239671</v>
      </c>
      <c r="AY11">
        <v>24.535748006234751</v>
      </c>
      <c r="AZ11">
        <v>24.532313031350611</v>
      </c>
    </row>
    <row r="12" spans="1:52" x14ac:dyDescent="0.25">
      <c r="A12" t="s">
        <v>62</v>
      </c>
      <c r="B12">
        <v>100</v>
      </c>
      <c r="C12">
        <v>200</v>
      </c>
      <c r="D12">
        <v>300</v>
      </c>
      <c r="H12">
        <v>100</v>
      </c>
      <c r="I12">
        <v>114.28571428571431</v>
      </c>
      <c r="J12">
        <v>128.57142857142861</v>
      </c>
      <c r="K12">
        <v>142.85714285714289</v>
      </c>
      <c r="L12">
        <v>157.14285714285711</v>
      </c>
      <c r="M12">
        <v>171.42857142857139</v>
      </c>
      <c r="N12">
        <v>185.71428571428569</v>
      </c>
      <c r="O12">
        <v>200</v>
      </c>
      <c r="P12">
        <v>214.28571428571431</v>
      </c>
      <c r="Q12">
        <v>228.57142857142861</v>
      </c>
      <c r="R12">
        <v>242.85714285714289</v>
      </c>
      <c r="S12">
        <v>257.14285714285711</v>
      </c>
      <c r="T12">
        <v>271.42857142857139</v>
      </c>
      <c r="U12">
        <v>285.71428571428572</v>
      </c>
      <c r="V12">
        <v>300</v>
      </c>
      <c r="W12">
        <v>-50</v>
      </c>
      <c r="X12">
        <v>-42.857142857142847</v>
      </c>
      <c r="Y12">
        <v>-35.714285714285708</v>
      </c>
      <c r="Z12">
        <v>-28.571428571428569</v>
      </c>
      <c r="AA12">
        <v>-21.428571428571431</v>
      </c>
      <c r="AB12">
        <v>-14.285714285714279</v>
      </c>
      <c r="AC12">
        <v>-7.1428571428571379</v>
      </c>
      <c r="AD12">
        <v>0</v>
      </c>
      <c r="AE12">
        <v>7.1428571428571379</v>
      </c>
      <c r="AF12">
        <v>14.28571428571429</v>
      </c>
      <c r="AG12">
        <v>21.428571428571431</v>
      </c>
      <c r="AH12">
        <v>28.571428571428552</v>
      </c>
      <c r="AI12">
        <v>35.714285714285722</v>
      </c>
      <c r="AJ12">
        <v>42.857142857142861</v>
      </c>
      <c r="AK12">
        <v>50</v>
      </c>
      <c r="AL12">
        <v>23.886521542290719</v>
      </c>
      <c r="AM12">
        <v>23.984927246089249</v>
      </c>
      <c r="AN12">
        <v>24.08333294988778</v>
      </c>
      <c r="AO12">
        <v>24.18173865368631</v>
      </c>
      <c r="AP12">
        <v>24.280144357484829</v>
      </c>
      <c r="AQ12">
        <v>24.378550061283359</v>
      </c>
      <c r="AR12">
        <v>24.47695576508189</v>
      </c>
      <c r="AS12">
        <v>24.57536146888042</v>
      </c>
      <c r="AT12">
        <v>24.67376717267895</v>
      </c>
      <c r="AU12">
        <v>24.77217287647747</v>
      </c>
      <c r="AV12">
        <v>24.870578580276</v>
      </c>
      <c r="AW12">
        <v>24.96898428407453</v>
      </c>
      <c r="AX12">
        <v>25.06738998787306</v>
      </c>
      <c r="AY12">
        <v>25.16579569167159</v>
      </c>
      <c r="AZ12">
        <v>25.26420139547011</v>
      </c>
    </row>
    <row r="13" spans="1:52" x14ac:dyDescent="0.25">
      <c r="A13" t="s">
        <v>63</v>
      </c>
      <c r="B13">
        <v>3</v>
      </c>
      <c r="C13">
        <v>5</v>
      </c>
      <c r="D13">
        <v>7</v>
      </c>
      <c r="H13">
        <v>3</v>
      </c>
      <c r="I13">
        <v>3.285714285714286</v>
      </c>
      <c r="J13">
        <v>3.5714285714285712</v>
      </c>
      <c r="K13">
        <v>3.8571428571428572</v>
      </c>
      <c r="L13">
        <v>4.1428571428571423</v>
      </c>
      <c r="M13">
        <v>4.4285714285714288</v>
      </c>
      <c r="N13">
        <v>4.7142857142857144</v>
      </c>
      <c r="O13">
        <v>5</v>
      </c>
      <c r="P13">
        <v>5.2857142857142856</v>
      </c>
      <c r="Q13">
        <v>5.5714285714285712</v>
      </c>
      <c r="R13">
        <v>5.8571428571428568</v>
      </c>
      <c r="S13">
        <v>6.1428571428571423</v>
      </c>
      <c r="T13">
        <v>6.4285714285714288</v>
      </c>
      <c r="U13">
        <v>6.7142857142857144</v>
      </c>
      <c r="V13">
        <v>7</v>
      </c>
      <c r="W13">
        <v>-40</v>
      </c>
      <c r="X13">
        <v>-34.285714285714278</v>
      </c>
      <c r="Y13">
        <v>-28.57142857142858</v>
      </c>
      <c r="Z13">
        <v>-22.857142857142861</v>
      </c>
      <c r="AA13">
        <v>-17.142857142857149</v>
      </c>
      <c r="AB13">
        <v>-11.42857142857142</v>
      </c>
      <c r="AC13">
        <v>-5.7142857142857117</v>
      </c>
      <c r="AD13">
        <v>0</v>
      </c>
      <c r="AE13">
        <v>5.7142857142857117</v>
      </c>
      <c r="AF13">
        <v>11.42857142857142</v>
      </c>
      <c r="AG13">
        <v>17.142857142857139</v>
      </c>
      <c r="AH13">
        <v>22.857142857142851</v>
      </c>
      <c r="AI13">
        <v>28.57142857142858</v>
      </c>
      <c r="AJ13">
        <v>34.28571428571427</v>
      </c>
      <c r="AK13">
        <v>40</v>
      </c>
      <c r="AL13">
        <v>24.67343753018287</v>
      </c>
      <c r="AM13">
        <v>24.643391040529711</v>
      </c>
      <c r="AN13">
        <v>24.61579068746844</v>
      </c>
      <c r="AO13">
        <v>24.590195988049629</v>
      </c>
      <c r="AP13">
        <v>24.60567364702025</v>
      </c>
      <c r="AQ13">
        <v>24.58115856130253</v>
      </c>
      <c r="AR13">
        <v>24.558233048729189</v>
      </c>
      <c r="AS13">
        <v>24.57536146888042</v>
      </c>
      <c r="AT13">
        <v>24.553312438874048</v>
      </c>
      <c r="AU13">
        <v>24.532552902808959</v>
      </c>
      <c r="AV13">
        <v>24.512935515442241</v>
      </c>
      <c r="AW13">
        <v>24.53070939604677</v>
      </c>
      <c r="AX13">
        <v>24.51172640350574</v>
      </c>
      <c r="AY13">
        <v>24.493703506372519</v>
      </c>
      <c r="AZ13">
        <v>24.512252516964971</v>
      </c>
    </row>
    <row r="14" spans="1:52" x14ac:dyDescent="0.25">
      <c r="A14" t="s">
        <v>64</v>
      </c>
      <c r="B14">
        <v>623</v>
      </c>
      <c r="C14">
        <v>723</v>
      </c>
      <c r="D14">
        <v>823</v>
      </c>
      <c r="H14">
        <v>623</v>
      </c>
      <c r="I14">
        <v>637.28571428571433</v>
      </c>
      <c r="J14">
        <v>651.57142857142856</v>
      </c>
      <c r="K14">
        <v>665.85714285714289</v>
      </c>
      <c r="L14">
        <v>680.14285714285711</v>
      </c>
      <c r="M14">
        <v>694.42857142857144</v>
      </c>
      <c r="N14">
        <v>708.71428571428578</v>
      </c>
      <c r="O14">
        <v>723</v>
      </c>
      <c r="P14">
        <v>737.28571428571433</v>
      </c>
      <c r="Q14">
        <v>751.57142857142856</v>
      </c>
      <c r="R14">
        <v>765.85714285714289</v>
      </c>
      <c r="S14">
        <v>780.14285714285711</v>
      </c>
      <c r="T14">
        <v>794.42857142857144</v>
      </c>
      <c r="U14">
        <v>808.71428571428578</v>
      </c>
      <c r="V14">
        <v>823</v>
      </c>
      <c r="W14">
        <v>-13.83125864453665</v>
      </c>
      <c r="X14">
        <v>-11.85536455245998</v>
      </c>
      <c r="Y14">
        <v>-9.8794704603833257</v>
      </c>
      <c r="Z14">
        <v>-7.9035763683066547</v>
      </c>
      <c r="AA14">
        <v>-5.9276822762299988</v>
      </c>
      <c r="AB14">
        <v>-3.9517881841533269</v>
      </c>
      <c r="AC14">
        <v>-1.9758940920766559</v>
      </c>
      <c r="AD14">
        <v>0</v>
      </c>
      <c r="AE14">
        <v>1.975894092076671</v>
      </c>
      <c r="AF14">
        <v>3.9517881841533269</v>
      </c>
      <c r="AG14">
        <v>5.9276822762299988</v>
      </c>
      <c r="AH14">
        <v>7.9035763683066547</v>
      </c>
      <c r="AI14">
        <v>9.8794704603833257</v>
      </c>
      <c r="AJ14">
        <v>11.855364552459999</v>
      </c>
      <c r="AK14">
        <v>13.83125864453665</v>
      </c>
      <c r="AL14">
        <v>25.38132084388041</v>
      </c>
      <c r="AM14">
        <v>25.26618379030899</v>
      </c>
      <c r="AN14">
        <v>25.151046736737559</v>
      </c>
      <c r="AO14">
        <v>25.035909683166128</v>
      </c>
      <c r="AP14">
        <v>24.920772629594701</v>
      </c>
      <c r="AQ14">
        <v>24.805635576023271</v>
      </c>
      <c r="AR14">
        <v>24.69049852245184</v>
      </c>
      <c r="AS14">
        <v>24.57536146888042</v>
      </c>
      <c r="AT14">
        <v>24.460224415308989</v>
      </c>
      <c r="AU14">
        <v>24.345087361737558</v>
      </c>
      <c r="AV14">
        <v>24.229950308166131</v>
      </c>
      <c r="AW14">
        <v>24.114813254594701</v>
      </c>
      <c r="AX14">
        <v>23.999676201023281</v>
      </c>
      <c r="AY14">
        <v>23.88453914745185</v>
      </c>
      <c r="AZ14">
        <v>23.769402093880419</v>
      </c>
    </row>
    <row r="15" spans="1:52" x14ac:dyDescent="0.25">
      <c r="A15" t="s">
        <v>65</v>
      </c>
      <c r="B15">
        <v>173</v>
      </c>
      <c r="C15">
        <v>273</v>
      </c>
      <c r="D15">
        <v>373</v>
      </c>
      <c r="H15">
        <v>173</v>
      </c>
      <c r="I15">
        <v>187.28571428571431</v>
      </c>
      <c r="J15">
        <v>201.57142857142861</v>
      </c>
      <c r="K15">
        <v>215.85714285714289</v>
      </c>
      <c r="L15">
        <v>230.14285714285711</v>
      </c>
      <c r="M15">
        <v>244.42857142857139</v>
      </c>
      <c r="N15">
        <v>258.71428571428572</v>
      </c>
      <c r="O15">
        <v>273</v>
      </c>
      <c r="P15">
        <v>287.28571428571428</v>
      </c>
      <c r="Q15">
        <v>301.57142857142861</v>
      </c>
      <c r="R15">
        <v>315.85714285714289</v>
      </c>
      <c r="S15">
        <v>330.14285714285711</v>
      </c>
      <c r="T15">
        <v>344.42857142857139</v>
      </c>
      <c r="U15">
        <v>358.71428571428572</v>
      </c>
      <c r="V15">
        <v>373</v>
      </c>
      <c r="W15">
        <v>-36.630036630036628</v>
      </c>
      <c r="X15">
        <v>-31.397174254317111</v>
      </c>
      <c r="Y15">
        <v>-26.164311878597591</v>
      </c>
      <c r="Z15">
        <v>-20.93144950287807</v>
      </c>
      <c r="AA15">
        <v>-15.698587127158561</v>
      </c>
      <c r="AB15">
        <v>-10.46572475143903</v>
      </c>
      <c r="AC15">
        <v>-5.2328623757195158</v>
      </c>
      <c r="AD15">
        <v>0</v>
      </c>
      <c r="AE15">
        <v>5.2328623757195158</v>
      </c>
      <c r="AF15">
        <v>10.46572475143903</v>
      </c>
      <c r="AG15">
        <v>15.69858712715857</v>
      </c>
      <c r="AH15">
        <v>20.93144950287806</v>
      </c>
      <c r="AI15">
        <v>26.164311878597601</v>
      </c>
      <c r="AJ15">
        <v>31.397174254317111</v>
      </c>
      <c r="AK15">
        <v>36.630036630036628</v>
      </c>
      <c r="AL15">
        <v>25.140964550053791</v>
      </c>
      <c r="AM15">
        <v>25.06924592595356</v>
      </c>
      <c r="AN15">
        <v>24.99413456633663</v>
      </c>
      <c r="AO15">
        <v>24.915864480470329</v>
      </c>
      <c r="AP15">
        <v>24.83465450398181</v>
      </c>
      <c r="AQ15">
        <v>24.75070904306401</v>
      </c>
      <c r="AR15">
        <v>24.664218798410701</v>
      </c>
      <c r="AS15">
        <v>24.57536146888042</v>
      </c>
      <c r="AT15">
        <v>24.484302434889479</v>
      </c>
      <c r="AU15">
        <v>24.391195421534039</v>
      </c>
      <c r="AV15">
        <v>24.29618314144107</v>
      </c>
      <c r="AW15">
        <v>24.199397917348431</v>
      </c>
      <c r="AX15">
        <v>24.100962284413882</v>
      </c>
      <c r="AY15">
        <v>24.00098957225315</v>
      </c>
      <c r="AZ15">
        <v>23.899584466707029</v>
      </c>
    </row>
    <row r="16" spans="1:52" x14ac:dyDescent="0.25">
      <c r="A16" t="s">
        <v>66</v>
      </c>
      <c r="B16">
        <v>0.5</v>
      </c>
      <c r="C16">
        <v>0.6</v>
      </c>
      <c r="D16">
        <v>0.7</v>
      </c>
      <c r="H16">
        <v>0.5</v>
      </c>
      <c r="I16">
        <v>0.51428571428571423</v>
      </c>
      <c r="J16">
        <v>0.52857142857142858</v>
      </c>
      <c r="K16">
        <v>0.54285714285714282</v>
      </c>
      <c r="L16">
        <v>0.55714285714285716</v>
      </c>
      <c r="M16">
        <v>0.5714285714285714</v>
      </c>
      <c r="N16">
        <v>0.58571428571428563</v>
      </c>
      <c r="O16">
        <v>0.6</v>
      </c>
      <c r="P16">
        <v>0.61428571428571421</v>
      </c>
      <c r="Q16">
        <v>0.62857142857142856</v>
      </c>
      <c r="R16">
        <v>0.64285714285714279</v>
      </c>
      <c r="S16">
        <v>0.65714285714285714</v>
      </c>
      <c r="T16">
        <v>0.67142857142857137</v>
      </c>
      <c r="U16">
        <v>0.68571428571428572</v>
      </c>
      <c r="V16">
        <v>0.7</v>
      </c>
      <c r="W16">
        <v>-16.666666666666661</v>
      </c>
      <c r="X16">
        <v>-14.28571428571429</v>
      </c>
      <c r="Y16">
        <v>-11.9047619047619</v>
      </c>
      <c r="Z16">
        <v>-9.5238095238095273</v>
      </c>
      <c r="AA16">
        <v>-7.142857142857137</v>
      </c>
      <c r="AB16">
        <v>-4.7619047619047636</v>
      </c>
      <c r="AC16">
        <v>-2.3809523809523911</v>
      </c>
      <c r="AD16">
        <v>0</v>
      </c>
      <c r="AE16">
        <v>2.380952380952372</v>
      </c>
      <c r="AF16">
        <v>4.7619047619047636</v>
      </c>
      <c r="AG16">
        <v>7.142857142857137</v>
      </c>
      <c r="AH16">
        <v>9.5238095238095273</v>
      </c>
      <c r="AI16">
        <v>11.9047619047619</v>
      </c>
      <c r="AJ16">
        <v>14.28571428571429</v>
      </c>
      <c r="AK16">
        <v>16.666666666666661</v>
      </c>
      <c r="AL16">
        <v>26.433975701090159</v>
      </c>
      <c r="AM16">
        <v>26.124206662388531</v>
      </c>
      <c r="AN16">
        <v>25.831181896049159</v>
      </c>
      <c r="AO16">
        <v>25.553579485832909</v>
      </c>
      <c r="AP16">
        <v>25.290213096653389</v>
      </c>
      <c r="AQ16">
        <v>25.040015026932849</v>
      </c>
      <c r="AR16">
        <v>24.802021741101122</v>
      </c>
      <c r="AS16">
        <v>24.57536146888042</v>
      </c>
      <c r="AT16">
        <v>24.359243534902539</v>
      </c>
      <c r="AU16">
        <v>24.152949143378201</v>
      </c>
      <c r="AV16">
        <v>23.955823391477178</v>
      </c>
      <c r="AW16">
        <v>23.7672683244414</v>
      </c>
      <c r="AX16">
        <v>23.586736877279499</v>
      </c>
      <c r="AY16">
        <v>23.41372757374933</v>
      </c>
      <c r="AZ16">
        <v>23.247779874444891</v>
      </c>
    </row>
    <row r="17" spans="1:52" x14ac:dyDescent="0.25">
      <c r="A17" t="s">
        <v>67</v>
      </c>
      <c r="B17">
        <v>0.15</v>
      </c>
      <c r="C17">
        <v>0.2</v>
      </c>
      <c r="D17">
        <v>0.25</v>
      </c>
      <c r="H17">
        <v>0.15</v>
      </c>
      <c r="I17">
        <v>0.15714285714285711</v>
      </c>
      <c r="J17">
        <v>0.16428571428571431</v>
      </c>
      <c r="K17">
        <v>0.1714285714285714</v>
      </c>
      <c r="L17">
        <v>0.1785714285714286</v>
      </c>
      <c r="M17">
        <v>0.18571428571428569</v>
      </c>
      <c r="N17">
        <v>0.19285714285714281</v>
      </c>
      <c r="O17">
        <v>0.2</v>
      </c>
      <c r="P17">
        <v>0.2071428571428571</v>
      </c>
      <c r="Q17">
        <v>0.2142857142857143</v>
      </c>
      <c r="R17">
        <v>0.22142857142857139</v>
      </c>
      <c r="S17">
        <v>0.22857142857142859</v>
      </c>
      <c r="T17">
        <v>0.23571428571428571</v>
      </c>
      <c r="U17">
        <v>0.24285714285714291</v>
      </c>
      <c r="V17">
        <v>0.25</v>
      </c>
      <c r="W17">
        <v>-25.000000000000011</v>
      </c>
      <c r="X17">
        <v>-21.428571428571431</v>
      </c>
      <c r="Y17">
        <v>-17.857142857142861</v>
      </c>
      <c r="Z17">
        <v>-14.28571428571429</v>
      </c>
      <c r="AA17">
        <v>-10.714285714285721</v>
      </c>
      <c r="AB17">
        <v>-7.142857142857145</v>
      </c>
      <c r="AC17">
        <v>-3.5714285714285858</v>
      </c>
      <c r="AD17">
        <v>0</v>
      </c>
      <c r="AE17">
        <v>3.5714285714285592</v>
      </c>
      <c r="AF17">
        <v>7.142857142857145</v>
      </c>
      <c r="AG17">
        <v>10.714285714285699</v>
      </c>
      <c r="AH17">
        <v>14.28571428571429</v>
      </c>
      <c r="AI17">
        <v>17.857142857142851</v>
      </c>
      <c r="AJ17">
        <v>21.42857142857142</v>
      </c>
      <c r="AK17">
        <v>24.999999999999989</v>
      </c>
      <c r="AL17">
        <v>24.964944802213751</v>
      </c>
      <c r="AM17">
        <v>24.894111468880421</v>
      </c>
      <c r="AN17">
        <v>24.82943755583694</v>
      </c>
      <c r="AO17">
        <v>24.77015313554708</v>
      </c>
      <c r="AP17">
        <v>24.715611468880411</v>
      </c>
      <c r="AQ17">
        <v>24.665265315034262</v>
      </c>
      <c r="AR17">
        <v>24.618648505917449</v>
      </c>
      <c r="AS17">
        <v>24.57536146888042</v>
      </c>
      <c r="AT17">
        <v>24.53505974474249</v>
      </c>
      <c r="AU17">
        <v>24.497444802213749</v>
      </c>
      <c r="AV17">
        <v>24.462256630170739</v>
      </c>
      <c r="AW17">
        <v>24.429267718880421</v>
      </c>
      <c r="AX17">
        <v>24.398278135547081</v>
      </c>
      <c r="AY17">
        <v>24.369111468880419</v>
      </c>
      <c r="AZ17">
        <v>24.341611468880419</v>
      </c>
    </row>
    <row r="18" spans="1:52" x14ac:dyDescent="0.25">
      <c r="A18" t="s">
        <v>68</v>
      </c>
      <c r="B18">
        <v>183</v>
      </c>
      <c r="C18">
        <v>233</v>
      </c>
      <c r="D18">
        <v>283</v>
      </c>
      <c r="H18">
        <v>183</v>
      </c>
      <c r="I18">
        <v>190.14285714285711</v>
      </c>
      <c r="J18">
        <v>197.28571428571431</v>
      </c>
      <c r="K18">
        <v>204.42857142857139</v>
      </c>
      <c r="L18">
        <v>211.57142857142861</v>
      </c>
      <c r="M18">
        <v>218.71428571428569</v>
      </c>
      <c r="N18">
        <v>225.85714285714289</v>
      </c>
      <c r="O18">
        <v>233</v>
      </c>
      <c r="P18">
        <v>240.14285714285711</v>
      </c>
      <c r="Q18">
        <v>247.28571428571431</v>
      </c>
      <c r="R18">
        <v>254.42857142857139</v>
      </c>
      <c r="S18">
        <v>261.57142857142861</v>
      </c>
      <c r="T18">
        <v>268.71428571428572</v>
      </c>
      <c r="U18">
        <v>275.85714285714289</v>
      </c>
      <c r="V18">
        <v>283</v>
      </c>
      <c r="W18">
        <v>-21.459227467811161</v>
      </c>
      <c r="X18">
        <v>-18.393623543838139</v>
      </c>
      <c r="Y18">
        <v>-15.32801961986512</v>
      </c>
      <c r="Z18">
        <v>-12.262415695892081</v>
      </c>
      <c r="AA18">
        <v>-9.1968117719190623</v>
      </c>
      <c r="AB18">
        <v>-6.1312078479460421</v>
      </c>
      <c r="AC18">
        <v>-3.0656039239730211</v>
      </c>
      <c r="AD18">
        <v>0</v>
      </c>
      <c r="AE18">
        <v>3.0656039239730211</v>
      </c>
      <c r="AF18">
        <v>6.1312078479460421</v>
      </c>
      <c r="AG18">
        <v>9.1968117719190747</v>
      </c>
      <c r="AH18">
        <v>12.262415695892081</v>
      </c>
      <c r="AI18">
        <v>15.32801961986512</v>
      </c>
      <c r="AJ18">
        <v>18.393623543838149</v>
      </c>
      <c r="AK18">
        <v>21.459227467811161</v>
      </c>
      <c r="AL18">
        <v>24.19341702443597</v>
      </c>
      <c r="AM18">
        <v>24.24798051649946</v>
      </c>
      <c r="AN18">
        <v>24.30254400856295</v>
      </c>
      <c r="AO18">
        <v>24.357107500626451</v>
      </c>
      <c r="AP18">
        <v>24.411670992689938</v>
      </c>
      <c r="AQ18">
        <v>24.466234484753429</v>
      </c>
      <c r="AR18">
        <v>24.520797976816919</v>
      </c>
      <c r="AS18">
        <v>24.57536146888042</v>
      </c>
      <c r="AT18">
        <v>24.629924960943899</v>
      </c>
      <c r="AU18">
        <v>24.6844884530074</v>
      </c>
      <c r="AV18">
        <v>24.739051945070891</v>
      </c>
      <c r="AW18">
        <v>24.793615437134381</v>
      </c>
      <c r="AX18">
        <v>24.848178929197871</v>
      </c>
      <c r="AY18">
        <v>24.902742421261369</v>
      </c>
      <c r="AZ18">
        <v>24.957305913324859</v>
      </c>
    </row>
    <row r="19" spans="1:52" x14ac:dyDescent="0.25">
      <c r="A19" t="s">
        <v>69</v>
      </c>
      <c r="B19">
        <v>330</v>
      </c>
      <c r="C19">
        <v>340</v>
      </c>
      <c r="D19">
        <v>350</v>
      </c>
      <c r="H19">
        <v>330</v>
      </c>
      <c r="I19">
        <v>331.42857142857139</v>
      </c>
      <c r="J19">
        <v>332.85714285714278</v>
      </c>
      <c r="K19">
        <v>334.28571428571428</v>
      </c>
      <c r="L19">
        <v>335.71428571428572</v>
      </c>
      <c r="M19">
        <v>337.14285714285722</v>
      </c>
      <c r="N19">
        <v>338.57142857142861</v>
      </c>
      <c r="O19">
        <v>340</v>
      </c>
      <c r="P19">
        <v>341.42857142857139</v>
      </c>
      <c r="Q19">
        <v>342.85714285714278</v>
      </c>
      <c r="R19">
        <v>344.28571428571428</v>
      </c>
      <c r="S19">
        <v>345.71428571428572</v>
      </c>
      <c r="T19">
        <v>347.14285714285722</v>
      </c>
      <c r="U19">
        <v>348.57142857142861</v>
      </c>
      <c r="V19">
        <v>350</v>
      </c>
      <c r="W19">
        <v>-2.9411764705882351</v>
      </c>
      <c r="X19">
        <v>-2.52100840336134</v>
      </c>
      <c r="Y19">
        <v>-2.100840336134461</v>
      </c>
      <c r="Z19">
        <v>-1.680672268907565</v>
      </c>
      <c r="AA19">
        <v>-1.26050420168067</v>
      </c>
      <c r="AB19">
        <v>-0.84033613445377431</v>
      </c>
      <c r="AC19">
        <v>-0.42016806722689548</v>
      </c>
      <c r="AD19">
        <v>0</v>
      </c>
      <c r="AE19">
        <v>0.42016806722689548</v>
      </c>
      <c r="AF19">
        <v>0.84033613445377431</v>
      </c>
      <c r="AG19">
        <v>1.26050420168067</v>
      </c>
      <c r="AH19">
        <v>1.680672268907565</v>
      </c>
      <c r="AI19">
        <v>2.100840336134461</v>
      </c>
      <c r="AJ19">
        <v>2.52100840336134</v>
      </c>
      <c r="AK19">
        <v>2.9411764705882351</v>
      </c>
      <c r="AL19">
        <v>24.551189593880419</v>
      </c>
      <c r="AM19">
        <v>24.554642718880419</v>
      </c>
      <c r="AN19">
        <v>24.55809584388042</v>
      </c>
      <c r="AO19">
        <v>24.56154896888042</v>
      </c>
      <c r="AP19">
        <v>24.565002093880409</v>
      </c>
      <c r="AQ19">
        <v>24.568455218880409</v>
      </c>
      <c r="AR19">
        <v>24.57190834388042</v>
      </c>
      <c r="AS19">
        <v>24.57536146888042</v>
      </c>
      <c r="AT19">
        <v>24.57881459388042</v>
      </c>
      <c r="AU19">
        <v>24.58226771888042</v>
      </c>
      <c r="AV19">
        <v>24.58572084388042</v>
      </c>
      <c r="AW19">
        <v>24.58917396888042</v>
      </c>
      <c r="AX19">
        <v>24.59262709388042</v>
      </c>
      <c r="AY19">
        <v>24.59608021888042</v>
      </c>
      <c r="AZ19">
        <v>24.59953334388041</v>
      </c>
    </row>
    <row r="20" spans="1:52" x14ac:dyDescent="0.25">
      <c r="A20" t="s">
        <v>70</v>
      </c>
      <c r="B20">
        <v>1.4999999999999999E-2</v>
      </c>
      <c r="C20">
        <v>2.5000000000000001E-2</v>
      </c>
      <c r="D20">
        <v>3.5000000000000003E-2</v>
      </c>
      <c r="H20">
        <v>1.4999999999999999E-2</v>
      </c>
      <c r="I20">
        <v>1.6428571428571431E-2</v>
      </c>
      <c r="J20">
        <v>1.785714285714286E-2</v>
      </c>
      <c r="K20">
        <v>1.9285714285714291E-2</v>
      </c>
      <c r="L20">
        <v>2.0714285714285709E-2</v>
      </c>
      <c r="M20">
        <v>2.2142857142857141E-2</v>
      </c>
      <c r="N20">
        <v>2.357142857142857E-2</v>
      </c>
      <c r="O20">
        <v>2.5000000000000001E-2</v>
      </c>
      <c r="P20">
        <v>2.642857142857143E-2</v>
      </c>
      <c r="Q20">
        <v>2.7857142857142862E-2</v>
      </c>
      <c r="R20">
        <v>2.928571428571429E-2</v>
      </c>
      <c r="S20">
        <v>3.0714285714285711E-2</v>
      </c>
      <c r="T20">
        <v>3.2142857142857147E-2</v>
      </c>
      <c r="U20">
        <v>3.3571428571428572E-2</v>
      </c>
      <c r="V20">
        <v>3.5000000000000003E-2</v>
      </c>
      <c r="W20">
        <v>-40.000000000000007</v>
      </c>
      <c r="X20">
        <v>-34.285714285714292</v>
      </c>
      <c r="Y20">
        <v>-28.57142857142858</v>
      </c>
      <c r="Z20">
        <v>-22.857142857142851</v>
      </c>
      <c r="AA20">
        <v>-17.142857142857149</v>
      </c>
      <c r="AB20">
        <v>-11.428571428571431</v>
      </c>
      <c r="AC20">
        <v>-5.7142857142857144</v>
      </c>
      <c r="AD20">
        <v>0</v>
      </c>
      <c r="AE20">
        <v>5.7142857142857144</v>
      </c>
      <c r="AF20">
        <v>11.428571428571431</v>
      </c>
      <c r="AG20">
        <v>17.142857142857139</v>
      </c>
      <c r="AH20">
        <v>22.857142857142851</v>
      </c>
      <c r="AI20">
        <v>28.57142857142858</v>
      </c>
      <c r="AJ20">
        <v>34.285714285714278</v>
      </c>
      <c r="AK20">
        <v>40.000000000000007</v>
      </c>
      <c r="AL20">
        <v>24.802938886999851</v>
      </c>
      <c r="AM20">
        <v>24.763002764671288</v>
      </c>
      <c r="AN20">
        <v>24.725644566327961</v>
      </c>
      <c r="AO20">
        <v>24.69087976128835</v>
      </c>
      <c r="AP20">
        <v>24.658621684765841</v>
      </c>
      <c r="AQ20">
        <v>24.628728556696551</v>
      </c>
      <c r="AR20">
        <v>24.601033271258011</v>
      </c>
      <c r="AS20">
        <v>24.57536146888042</v>
      </c>
      <c r="AT20">
        <v>24.551542006562741</v>
      </c>
      <c r="AU20">
        <v>24.52941264787286</v>
      </c>
      <c r="AV20">
        <v>24.508822820709089</v>
      </c>
      <c r="AW20">
        <v>24.489634621382429</v>
      </c>
      <c r="AX20">
        <v>24.47172280340558</v>
      </c>
      <c r="AY20">
        <v>24.454974207127851</v>
      </c>
      <c r="AZ20">
        <v>24.439286908018101</v>
      </c>
    </row>
    <row r="21" spans="1:52" x14ac:dyDescent="0.25">
      <c r="A21" t="s">
        <v>71</v>
      </c>
      <c r="B21">
        <v>4.0000000000000001E-3</v>
      </c>
      <c r="C21">
        <v>6.0000000000000001E-3</v>
      </c>
      <c r="D21">
        <v>8.0000000000000002E-3</v>
      </c>
      <c r="H21">
        <v>4.0000000000000001E-3</v>
      </c>
      <c r="I21">
        <v>4.2857142857142859E-3</v>
      </c>
      <c r="J21">
        <v>4.5714285714285718E-3</v>
      </c>
      <c r="K21">
        <v>4.8571428571428576E-3</v>
      </c>
      <c r="L21">
        <v>5.1428571428571426E-3</v>
      </c>
      <c r="M21">
        <v>5.4285714285714276E-3</v>
      </c>
      <c r="N21">
        <v>5.7142857142857143E-3</v>
      </c>
      <c r="O21">
        <v>6.0000000000000001E-3</v>
      </c>
      <c r="P21">
        <v>6.285714285714286E-3</v>
      </c>
      <c r="Q21">
        <v>6.5714285714285718E-3</v>
      </c>
      <c r="R21">
        <v>6.8571428571428577E-3</v>
      </c>
      <c r="S21">
        <v>7.1428571428571444E-3</v>
      </c>
      <c r="T21">
        <v>7.4285714285714276E-3</v>
      </c>
      <c r="U21">
        <v>7.7142857142857152E-3</v>
      </c>
      <c r="V21">
        <v>8.0000000000000002E-3</v>
      </c>
      <c r="W21">
        <v>-33.333333333333329</v>
      </c>
      <c r="X21">
        <v>-28.571428571428569</v>
      </c>
      <c r="Y21">
        <v>-23.80952380952381</v>
      </c>
      <c r="Z21">
        <v>-19.04761904761904</v>
      </c>
      <c r="AA21">
        <v>-14.285714285714279</v>
      </c>
      <c r="AB21">
        <v>-9.5238095238095273</v>
      </c>
      <c r="AC21">
        <v>-4.7619047619047636</v>
      </c>
      <c r="AD21">
        <v>0</v>
      </c>
      <c r="AE21">
        <v>4.7619047619047636</v>
      </c>
      <c r="AF21">
        <v>9.5238095238095273</v>
      </c>
      <c r="AG21">
        <v>14.28571428571429</v>
      </c>
      <c r="AH21">
        <v>19.047619047619051</v>
      </c>
      <c r="AI21">
        <v>23.80952380952381</v>
      </c>
      <c r="AJ21">
        <v>28.571428571428591</v>
      </c>
      <c r="AK21">
        <v>33.333333333333329</v>
      </c>
      <c r="AL21">
        <v>24.407274888551139</v>
      </c>
      <c r="AM21">
        <v>24.43342876517784</v>
      </c>
      <c r="AN21">
        <v>24.458858018697129</v>
      </c>
      <c r="AO21">
        <v>24.48356845053366</v>
      </c>
      <c r="AP21">
        <v>24.507566532688301</v>
      </c>
      <c r="AQ21">
        <v>24.530859409780891</v>
      </c>
      <c r="AR21">
        <v>24.553454896264871</v>
      </c>
      <c r="AS21">
        <v>24.57536146888042</v>
      </c>
      <c r="AT21">
        <v>24.596588254411952</v>
      </c>
      <c r="AU21">
        <v>24.617145012839028</v>
      </c>
      <c r="AV21">
        <v>24.637042116008669</v>
      </c>
      <c r="AW21">
        <v>24.656290522004209</v>
      </c>
      <c r="AX21">
        <v>24.674901745440501</v>
      </c>
      <c r="AY21">
        <v>24.69288782396815</v>
      </c>
      <c r="AZ21">
        <v>24.71026128132392</v>
      </c>
    </row>
    <row r="22" spans="1:52" x14ac:dyDescent="0.25">
      <c r="A22" t="s">
        <v>72</v>
      </c>
      <c r="B22">
        <v>0.03</v>
      </c>
      <c r="C22">
        <v>5.5E-2</v>
      </c>
      <c r="D22">
        <v>0.08</v>
      </c>
      <c r="H22">
        <v>0.03</v>
      </c>
      <c r="I22">
        <v>3.3571428571428572E-2</v>
      </c>
      <c r="J22">
        <v>3.7142857142857137E-2</v>
      </c>
      <c r="K22">
        <v>4.0714285714285717E-2</v>
      </c>
      <c r="L22">
        <v>4.4285714285714289E-2</v>
      </c>
      <c r="M22">
        <v>4.7857142857142862E-2</v>
      </c>
      <c r="N22">
        <v>5.1428571428571428E-2</v>
      </c>
      <c r="O22">
        <v>5.5E-2</v>
      </c>
      <c r="P22">
        <v>5.8571428571428573E-2</v>
      </c>
      <c r="Q22">
        <v>6.2142857142857152E-2</v>
      </c>
      <c r="R22">
        <v>6.5714285714285725E-2</v>
      </c>
      <c r="S22">
        <v>6.9285714285714284E-2</v>
      </c>
      <c r="T22">
        <v>7.2857142857142856E-2</v>
      </c>
      <c r="U22">
        <v>7.6428571428571429E-2</v>
      </c>
      <c r="V22">
        <v>0.08</v>
      </c>
      <c r="W22">
        <v>-45.45454545454546</v>
      </c>
      <c r="X22">
        <v>-38.961038961038973</v>
      </c>
      <c r="Y22">
        <v>-32.467532467532457</v>
      </c>
      <c r="Z22">
        <v>-25.97402597402597</v>
      </c>
      <c r="AA22">
        <v>-19.480519480519469</v>
      </c>
      <c r="AB22">
        <v>-12.98701298701298</v>
      </c>
      <c r="AC22">
        <v>-6.4935064935064961</v>
      </c>
      <c r="AD22">
        <v>0</v>
      </c>
      <c r="AE22">
        <v>6.4935064935064961</v>
      </c>
      <c r="AF22">
        <v>12.98701298701299</v>
      </c>
      <c r="AG22">
        <v>19.480519480519501</v>
      </c>
      <c r="AH22">
        <v>25.97402597402597</v>
      </c>
      <c r="AI22">
        <v>32.467532467532457</v>
      </c>
      <c r="AJ22">
        <v>38.961038961038973</v>
      </c>
      <c r="AK22">
        <v>45.45454545454546</v>
      </c>
      <c r="AL22">
        <v>24.662141553428661</v>
      </c>
      <c r="AM22">
        <v>24.64609333552405</v>
      </c>
      <c r="AN22">
        <v>24.631626048165639</v>
      </c>
      <c r="AO22">
        <v>24.618467047792439</v>
      </c>
      <c r="AP22">
        <v>24.606408014153899</v>
      </c>
      <c r="AQ22">
        <v>24.595286244739171</v>
      </c>
      <c r="AR22">
        <v>24.58497228278657</v>
      </c>
      <c r="AS22">
        <v>24.57536146888042</v>
      </c>
      <c r="AT22">
        <v>24.566368012410479</v>
      </c>
      <c r="AU22">
        <v>24.55792073214484</v>
      </c>
      <c r="AV22">
        <v>24.5499599323993</v>
      </c>
      <c r="AW22">
        <v>24.542435070147089</v>
      </c>
      <c r="AX22">
        <v>24.53530298454492</v>
      </c>
      <c r="AY22">
        <v>24.52852653381473</v>
      </c>
      <c r="AZ22">
        <v>24.522073532083809</v>
      </c>
    </row>
    <row r="23" spans="1:52" x14ac:dyDescent="0.25">
      <c r="A23" t="s">
        <v>73</v>
      </c>
      <c r="B23">
        <v>0.15</v>
      </c>
      <c r="C23">
        <v>0.2</v>
      </c>
      <c r="D23">
        <v>0.25</v>
      </c>
      <c r="H23">
        <v>0.15</v>
      </c>
      <c r="I23">
        <v>0.15714285714285711</v>
      </c>
      <c r="J23">
        <v>0.16428571428571431</v>
      </c>
      <c r="K23">
        <v>0.1714285714285714</v>
      </c>
      <c r="L23">
        <v>0.1785714285714286</v>
      </c>
      <c r="M23">
        <v>0.18571428571428569</v>
      </c>
      <c r="N23">
        <v>0.19285714285714281</v>
      </c>
      <c r="O23">
        <v>0.2</v>
      </c>
      <c r="P23">
        <v>0.2071428571428571</v>
      </c>
      <c r="Q23">
        <v>0.2142857142857143</v>
      </c>
      <c r="R23">
        <v>0.22142857142857139</v>
      </c>
      <c r="S23">
        <v>0.22857142857142859</v>
      </c>
      <c r="T23">
        <v>0.23571428571428571</v>
      </c>
      <c r="U23">
        <v>0.24285714285714291</v>
      </c>
      <c r="V23">
        <v>0.25</v>
      </c>
      <c r="W23">
        <v>-25.000000000000011</v>
      </c>
      <c r="X23">
        <v>-21.428571428571431</v>
      </c>
      <c r="Y23">
        <v>-17.857142857142861</v>
      </c>
      <c r="Z23">
        <v>-14.28571428571429</v>
      </c>
      <c r="AA23">
        <v>-10.714285714285721</v>
      </c>
      <c r="AB23">
        <v>-7.142857142857145</v>
      </c>
      <c r="AC23">
        <v>-3.5714285714285858</v>
      </c>
      <c r="AD23">
        <v>0</v>
      </c>
      <c r="AE23">
        <v>3.5714285714285592</v>
      </c>
      <c r="AF23">
        <v>7.142857142857145</v>
      </c>
      <c r="AG23">
        <v>10.714285714285699</v>
      </c>
      <c r="AH23">
        <v>14.28571428571429</v>
      </c>
      <c r="AI23">
        <v>17.857142857142851</v>
      </c>
      <c r="AJ23">
        <v>21.42857142857142</v>
      </c>
      <c r="AK23">
        <v>24.999999999999989</v>
      </c>
      <c r="AL23">
        <v>24.37129578282925</v>
      </c>
      <c r="AM23">
        <v>24.352744356824601</v>
      </c>
      <c r="AN23">
        <v>24.335806098298612</v>
      </c>
      <c r="AO23">
        <v>24.320279361316459</v>
      </c>
      <c r="AP23">
        <v>24.30599476329288</v>
      </c>
      <c r="AQ23">
        <v>24.292808980501881</v>
      </c>
      <c r="AR23">
        <v>24.280599922362061</v>
      </c>
      <c r="AS23">
        <v>24.269262939803671</v>
      </c>
      <c r="AT23">
        <v>24.258707818111361</v>
      </c>
      <c r="AU23">
        <v>24.248856371198549</v>
      </c>
      <c r="AV23">
        <v>24.23964050150591</v>
      </c>
      <c r="AW23">
        <v>24.231000623669068</v>
      </c>
      <c r="AX23">
        <v>24.222884374792041</v>
      </c>
      <c r="AY23">
        <v>24.21524555231953</v>
      </c>
      <c r="AZ23">
        <v>24.20804323398832</v>
      </c>
    </row>
    <row r="24" spans="1:52" x14ac:dyDescent="0.25">
      <c r="AS24">
        <f>AS22/AS23</f>
        <v>1.0126126009609762</v>
      </c>
    </row>
    <row r="28" spans="1:52" x14ac:dyDescent="0.25">
      <c r="C28">
        <f>99/10/6</f>
        <v>1.6500000000000001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Dorian Leger</cp:lastModifiedBy>
  <dcterms:created xsi:type="dcterms:W3CDTF">2024-04-03T22:03:24Z</dcterms:created>
  <dcterms:modified xsi:type="dcterms:W3CDTF">2024-04-03T22:16:10Z</dcterms:modified>
</cp:coreProperties>
</file>