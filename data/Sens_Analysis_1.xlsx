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262872d75759d81f/Desktop/R2O2_April_Gitlinked_2024/Space_resources_LEIA/data/"/>
    </mc:Choice>
  </mc:AlternateContent>
  <xr:revisionPtr revIDLastSave="26" documentId="11_6D1D348D5B50577463BB2C11595ED87656CD7F60" xr6:coauthVersionLast="47" xr6:coauthVersionMax="47" xr10:uidLastSave="{3C70BC10-AD03-440B-96BF-8266694C0F2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" i="1"/>
  <c r="AK2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3" i="1"/>
  <c r="AK4" i="1"/>
  <c r="AK5" i="1"/>
  <c r="AK6" i="1"/>
  <c r="AK7" i="1"/>
  <c r="AK8" i="1"/>
</calcChain>
</file>

<file path=xl/sharedStrings.xml><?xml version="1.0" encoding="utf-8"?>
<sst xmlns="http://schemas.openxmlformats.org/spreadsheetml/2006/main" count="62" uniqueCount="62">
  <si>
    <t>Parameter</t>
  </si>
  <si>
    <t>Low Value</t>
  </si>
  <si>
    <t>Mid Value</t>
  </si>
  <si>
    <t>High Value</t>
  </si>
  <si>
    <t>Model Results (low)</t>
  </si>
  <si>
    <t>Model Results (high)</t>
  </si>
  <si>
    <t>Output Range</t>
  </si>
  <si>
    <t>PVI_1</t>
  </si>
  <si>
    <t>PVI_2</t>
  </si>
  <si>
    <t>PVI_3</t>
  </si>
  <si>
    <t>PVI_4</t>
  </si>
  <si>
    <t>PVI_5</t>
  </si>
  <si>
    <t>PVI_6</t>
  </si>
  <si>
    <t>PVI_7</t>
  </si>
  <si>
    <t>PVI_8</t>
  </si>
  <si>
    <t>PVI_9</t>
  </si>
  <si>
    <t>PVI_10</t>
  </si>
  <si>
    <t>PVI_11</t>
  </si>
  <si>
    <t>PCM_1</t>
  </si>
  <si>
    <t>PCM_2</t>
  </si>
  <si>
    <t>PCM_3</t>
  </si>
  <si>
    <t>PCM_4</t>
  </si>
  <si>
    <t>PCM_5</t>
  </si>
  <si>
    <t>PCM_6</t>
  </si>
  <si>
    <t>PCM_7</t>
  </si>
  <si>
    <t>PCM_8</t>
  </si>
  <si>
    <t>PCM_9</t>
  </si>
  <si>
    <t>PCM_10</t>
  </si>
  <si>
    <t>PCM_11</t>
  </si>
  <si>
    <t>MRL_1</t>
  </si>
  <si>
    <t>MRL_2</t>
  </si>
  <si>
    <t>MRL_3</t>
  </si>
  <si>
    <t>MRL_4</t>
  </si>
  <si>
    <t>MRL_5</t>
  </si>
  <si>
    <t>MRL_6</t>
  </si>
  <si>
    <t>MRL_7</t>
  </si>
  <si>
    <t>MRL_8</t>
  </si>
  <si>
    <t>MRL_9</t>
  </si>
  <si>
    <t>MRL_10</t>
  </si>
  <si>
    <t>MRL_11</t>
  </si>
  <si>
    <t>cohCoeff</t>
  </si>
  <si>
    <t>intAngle</t>
  </si>
  <si>
    <t>extAngle</t>
  </si>
  <si>
    <t>enrichment_factor</t>
  </si>
  <si>
    <t>benef_ilmenite_recovery</t>
  </si>
  <si>
    <t>motor_efficiency</t>
  </si>
  <si>
    <t>mRover</t>
  </si>
  <si>
    <t>batch_reaction_time_in_hours</t>
  </si>
  <si>
    <t>CFI_thickness</t>
  </si>
  <si>
    <t>HTMLI_thickness</t>
  </si>
  <si>
    <t>delta_T_insulation</t>
  </si>
  <si>
    <t>reactor_heat_up_time_in_hours</t>
  </si>
  <si>
    <t>T_pre_heater</t>
  </si>
  <si>
    <t>T_regolith_in</t>
  </si>
  <si>
    <t>system_efficiency</t>
  </si>
  <si>
    <t>cryocooler_efficiency</t>
  </si>
  <si>
    <t>T_hot_reservoir_carnot_cycle</t>
  </si>
  <si>
    <t>T_of_incoming_oxygen</t>
  </si>
  <si>
    <t>vip_thickness</t>
  </si>
  <si>
    <t>vip_thermal_conductivity</t>
  </si>
  <si>
    <t>vip_emissivity</t>
  </si>
  <si>
    <t>cryocooler_efficiency_storage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</si>
</sst>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%"/>
    <numFmt numFmtId="176" formatCode="0.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8" fontId="0" fillId="2" borderId="0" xfId="0" applyNumberFormat="1" applyFill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"/>
  <sheetViews>
    <sheetView tabSelected="1" workbookViewId="0">
      <selection activeCell="M7" sqref="M7"/>
    </sheetView>
  </sheetViews>
  <sheetFormatPr defaultRowHeight="15" x14ac:dyDescent="0.25"/>
  <cols>
    <col min="14" max="14" width="18.85546875" customWidth="1"/>
    <col min="37" max="37" width="20.57031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/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</row>
    <row r="2" spans="1:42" x14ac:dyDescent="0.25">
      <c r="A2" t="s">
        <v>40</v>
      </c>
      <c r="B2">
        <v>100</v>
      </c>
      <c r="C2">
        <v>1100</v>
      </c>
      <c r="D2">
        <v>2100</v>
      </c>
      <c r="H2">
        <v>100</v>
      </c>
      <c r="I2">
        <v>300</v>
      </c>
      <c r="J2">
        <v>500</v>
      </c>
      <c r="K2">
        <v>700</v>
      </c>
      <c r="L2">
        <v>900</v>
      </c>
      <c r="M2">
        <v>1100</v>
      </c>
      <c r="N2" s="4">
        <f>AVERAGE(H2,S2)-M2</f>
        <v>0</v>
      </c>
      <c r="O2">
        <v>1300</v>
      </c>
      <c r="P2">
        <v>1500</v>
      </c>
      <c r="Q2">
        <v>1700</v>
      </c>
      <c r="R2">
        <v>1900</v>
      </c>
      <c r="S2">
        <v>2100</v>
      </c>
      <c r="T2">
        <v>-90.909090909090907</v>
      </c>
      <c r="U2">
        <v>-72.727272727272734</v>
      </c>
      <c r="V2">
        <v>-54.54545454545454</v>
      </c>
      <c r="W2">
        <v>-36.363636363636367</v>
      </c>
      <c r="X2">
        <v>-18.18181818181818</v>
      </c>
      <c r="Y2">
        <v>0</v>
      </c>
      <c r="Z2">
        <v>18.18181818181818</v>
      </c>
      <c r="AA2">
        <v>36.363636363636367</v>
      </c>
      <c r="AB2">
        <v>54.54545454545454</v>
      </c>
      <c r="AC2">
        <v>72.727272727272734</v>
      </c>
      <c r="AD2">
        <v>90.909090909090907</v>
      </c>
      <c r="AE2">
        <v>24.586910630577648</v>
      </c>
      <c r="AF2">
        <v>24.587008143358531</v>
      </c>
      <c r="AG2">
        <v>24.587105656139411</v>
      </c>
      <c r="AH2">
        <v>24.58720316892029</v>
      </c>
      <c r="AI2">
        <v>24.58730068170118</v>
      </c>
      <c r="AJ2">
        <v>24.587398194482059</v>
      </c>
      <c r="AK2" s="3">
        <f>AJ2/$AJ$9</f>
        <v>0.9999801705641066</v>
      </c>
      <c r="AL2">
        <v>24.587495707262931</v>
      </c>
      <c r="AM2">
        <v>24.587593220043821</v>
      </c>
      <c r="AN2">
        <v>24.587690732824701</v>
      </c>
      <c r="AO2">
        <v>24.58778824560558</v>
      </c>
      <c r="AP2">
        <v>24.587885758386459</v>
      </c>
    </row>
    <row r="3" spans="1:42" x14ac:dyDescent="0.25">
      <c r="A3" t="s">
        <v>41</v>
      </c>
      <c r="B3">
        <v>40</v>
      </c>
      <c r="C3">
        <v>45</v>
      </c>
      <c r="D3">
        <v>50</v>
      </c>
      <c r="H3">
        <v>40</v>
      </c>
      <c r="I3">
        <v>41</v>
      </c>
      <c r="J3">
        <v>42</v>
      </c>
      <c r="K3">
        <v>43</v>
      </c>
      <c r="L3">
        <v>44</v>
      </c>
      <c r="M3">
        <v>45</v>
      </c>
      <c r="N3" s="4">
        <f t="shared" ref="N3:N23" si="0">AVERAGE(H3,S3)-M3</f>
        <v>0</v>
      </c>
      <c r="O3">
        <v>46</v>
      </c>
      <c r="P3">
        <v>47</v>
      </c>
      <c r="Q3">
        <v>48</v>
      </c>
      <c r="R3">
        <v>49</v>
      </c>
      <c r="S3">
        <v>50</v>
      </c>
      <c r="T3">
        <v>-11.111111111111111</v>
      </c>
      <c r="U3">
        <v>-8.8888888888888893</v>
      </c>
      <c r="V3">
        <v>-6.666666666666667</v>
      </c>
      <c r="W3">
        <v>-4.4444444444444446</v>
      </c>
      <c r="X3">
        <v>-2.2222222222222219</v>
      </c>
      <c r="Y3">
        <v>0</v>
      </c>
      <c r="Z3">
        <v>2.2222222222222219</v>
      </c>
      <c r="AA3">
        <v>4.4444444444444446</v>
      </c>
      <c r="AB3">
        <v>6.666666666666667</v>
      </c>
      <c r="AC3">
        <v>8.8888888888888893</v>
      </c>
      <c r="AD3">
        <v>11.111111111111111</v>
      </c>
      <c r="AE3">
        <v>24.58787497141779</v>
      </c>
      <c r="AF3">
        <v>24.587872837698431</v>
      </c>
      <c r="AG3">
        <v>24.587872800739131</v>
      </c>
      <c r="AH3">
        <v>24.58787490081248</v>
      </c>
      <c r="AI3">
        <v>24.587879195054281</v>
      </c>
      <c r="AJ3" s="2">
        <v>24.587885758386459</v>
      </c>
      <c r="AK3" s="3">
        <f>AJ3/$AJ$9</f>
        <v>1</v>
      </c>
      <c r="AL3">
        <v>24.587894684781709</v>
      </c>
      <c r="AM3">
        <v>24.58790608891206</v>
      </c>
      <c r="AN3">
        <v>24.58792010823802</v>
      </c>
      <c r="AO3">
        <v>24.58793690561345</v>
      </c>
      <c r="AP3">
        <v>24.587956672503221</v>
      </c>
    </row>
    <row r="4" spans="1:42" x14ac:dyDescent="0.25">
      <c r="A4" t="s">
        <v>42</v>
      </c>
      <c r="B4">
        <v>10</v>
      </c>
      <c r="C4">
        <v>12.5</v>
      </c>
      <c r="D4">
        <v>15</v>
      </c>
      <c r="H4">
        <v>10</v>
      </c>
      <c r="I4">
        <v>10.5</v>
      </c>
      <c r="J4">
        <v>11</v>
      </c>
      <c r="K4">
        <v>11.5</v>
      </c>
      <c r="L4">
        <v>12</v>
      </c>
      <c r="M4">
        <v>12.5</v>
      </c>
      <c r="N4" s="4">
        <f t="shared" si="0"/>
        <v>0</v>
      </c>
      <c r="O4">
        <v>13</v>
      </c>
      <c r="P4">
        <v>13.5</v>
      </c>
      <c r="Q4">
        <v>14</v>
      </c>
      <c r="R4">
        <v>14.5</v>
      </c>
      <c r="S4">
        <v>15</v>
      </c>
      <c r="T4">
        <v>-20</v>
      </c>
      <c r="U4">
        <v>-16</v>
      </c>
      <c r="V4">
        <v>-12</v>
      </c>
      <c r="W4">
        <v>-8</v>
      </c>
      <c r="X4">
        <v>-4</v>
      </c>
      <c r="Y4">
        <v>0</v>
      </c>
      <c r="Z4">
        <v>4</v>
      </c>
      <c r="AA4">
        <v>8</v>
      </c>
      <c r="AB4">
        <v>12</v>
      </c>
      <c r="AC4">
        <v>16</v>
      </c>
      <c r="AD4">
        <v>20</v>
      </c>
      <c r="AE4">
        <v>24.587885758386459</v>
      </c>
      <c r="AF4">
        <v>24.587948125417299</v>
      </c>
      <c r="AG4">
        <v>24.58801229895894</v>
      </c>
      <c r="AH4">
        <v>24.588078306037641</v>
      </c>
      <c r="AI4">
        <v>24.588146173491779</v>
      </c>
      <c r="AJ4">
        <v>24.588215927945289</v>
      </c>
      <c r="AK4" s="3">
        <f>AJ4/$AJ$9</f>
        <v>1.0000134281394535</v>
      </c>
      <c r="AL4">
        <v>24.58828759578012</v>
      </c>
      <c r="AM4">
        <v>24.588361203107521</v>
      </c>
      <c r="AN4">
        <v>24.58843677573828</v>
      </c>
      <c r="AO4">
        <v>24.588514339151779</v>
      </c>
      <c r="AP4">
        <v>24.588593918463829</v>
      </c>
    </row>
    <row r="5" spans="1:42" x14ac:dyDescent="0.25">
      <c r="A5" t="s">
        <v>43</v>
      </c>
      <c r="B5">
        <v>1.5</v>
      </c>
      <c r="C5">
        <v>6</v>
      </c>
      <c r="D5">
        <v>10.5</v>
      </c>
      <c r="H5">
        <v>1.5</v>
      </c>
      <c r="I5">
        <v>2.4</v>
      </c>
      <c r="J5">
        <v>3.3</v>
      </c>
      <c r="K5">
        <v>4.2</v>
      </c>
      <c r="L5">
        <v>5.0999999999999996</v>
      </c>
      <c r="M5">
        <v>6</v>
      </c>
      <c r="N5" s="4">
        <f t="shared" si="0"/>
        <v>0</v>
      </c>
      <c r="O5">
        <v>6.9</v>
      </c>
      <c r="P5">
        <v>7.8</v>
      </c>
      <c r="Q5">
        <v>8.6999999999999993</v>
      </c>
      <c r="R5">
        <v>9.6</v>
      </c>
      <c r="S5">
        <v>10.5</v>
      </c>
      <c r="T5">
        <v>-75</v>
      </c>
      <c r="U5">
        <v>-60</v>
      </c>
      <c r="V5">
        <v>-45</v>
      </c>
      <c r="W5">
        <v>-30</v>
      </c>
      <c r="X5">
        <v>-15.000000000000011</v>
      </c>
      <c r="Y5">
        <v>0</v>
      </c>
      <c r="Z5">
        <v>15.000000000000011</v>
      </c>
      <c r="AA5">
        <v>30</v>
      </c>
      <c r="AB5">
        <v>44.999999999999993</v>
      </c>
      <c r="AC5">
        <v>60</v>
      </c>
      <c r="AD5">
        <v>75</v>
      </c>
      <c r="AE5">
        <v>53.747442918463292</v>
      </c>
      <c r="AF5">
        <v>39.167664338424871</v>
      </c>
      <c r="AG5">
        <v>32.540492256589232</v>
      </c>
      <c r="AH5">
        <v>28.753536781254581</v>
      </c>
      <c r="AI5">
        <v>26.303153826626271</v>
      </c>
      <c r="AJ5" s="2">
        <v>24.587885758386459</v>
      </c>
      <c r="AK5" s="3">
        <f>AJ5/$AJ$9</f>
        <v>1</v>
      </c>
      <c r="AL5">
        <v>23.320078925339651</v>
      </c>
      <c r="AM5">
        <v>22.344842899919019</v>
      </c>
      <c r="AN5">
        <v>21.571379845275061</v>
      </c>
      <c r="AO5">
        <v>20.942941113376861</v>
      </c>
      <c r="AP5">
        <v>20.758852999992531</v>
      </c>
    </row>
    <row r="6" spans="1:42" x14ac:dyDescent="0.25">
      <c r="A6" t="s">
        <v>44</v>
      </c>
      <c r="B6">
        <v>0.24</v>
      </c>
      <c r="C6">
        <v>0.505</v>
      </c>
      <c r="D6">
        <v>0.77</v>
      </c>
      <c r="H6">
        <v>0.24</v>
      </c>
      <c r="I6">
        <v>0.29299999999999998</v>
      </c>
      <c r="J6">
        <v>0.34599999999999997</v>
      </c>
      <c r="K6">
        <v>0.39900000000000002</v>
      </c>
      <c r="L6">
        <v>0.45200000000000001</v>
      </c>
      <c r="M6">
        <v>0.505</v>
      </c>
      <c r="N6" s="4">
        <f t="shared" si="0"/>
        <v>0</v>
      </c>
      <c r="O6">
        <v>0.55800000000000005</v>
      </c>
      <c r="P6">
        <v>0.61099999999999999</v>
      </c>
      <c r="Q6">
        <v>0.66400000000000003</v>
      </c>
      <c r="R6">
        <v>0.71700000000000008</v>
      </c>
      <c r="S6">
        <v>0.77</v>
      </c>
      <c r="T6">
        <v>-52.475247524752483</v>
      </c>
      <c r="U6">
        <v>-41.980198019801982</v>
      </c>
      <c r="V6">
        <v>-31.485148514851488</v>
      </c>
      <c r="W6">
        <v>-20.990099009900991</v>
      </c>
      <c r="X6">
        <v>-10.49504950495049</v>
      </c>
      <c r="Y6">
        <v>0</v>
      </c>
      <c r="Z6">
        <v>10.495049504950501</v>
      </c>
      <c r="AA6">
        <v>20.990099009900991</v>
      </c>
      <c r="AB6">
        <v>31.485148514851488</v>
      </c>
      <c r="AC6">
        <v>41.980198019802003</v>
      </c>
      <c r="AD6">
        <v>52.475247524752483</v>
      </c>
      <c r="AE6">
        <v>24.751028679972791</v>
      </c>
      <c r="AF6">
        <v>24.695286635092511</v>
      </c>
      <c r="AG6">
        <v>24.65662163286343</v>
      </c>
      <c r="AH6">
        <v>24.62822853598842</v>
      </c>
      <c r="AI6">
        <v>24.606493997230139</v>
      </c>
      <c r="AJ6">
        <v>24.589321559676549</v>
      </c>
      <c r="AK6" s="3">
        <f>AJ6/$AJ$9</f>
        <v>1.0000583946624853</v>
      </c>
      <c r="AL6">
        <v>24.5754112697586</v>
      </c>
      <c r="AM6">
        <v>24.563914221626739</v>
      </c>
      <c r="AN6">
        <v>24.554252545636409</v>
      </c>
      <c r="AO6">
        <v>24.54601923457631</v>
      </c>
      <c r="AP6">
        <v>24.538919340363439</v>
      </c>
    </row>
    <row r="7" spans="1:42" x14ac:dyDescent="0.25">
      <c r="A7" t="s">
        <v>45</v>
      </c>
      <c r="B7">
        <v>0.4</v>
      </c>
      <c r="C7">
        <v>0.6</v>
      </c>
      <c r="D7">
        <v>0.8</v>
      </c>
      <c r="H7">
        <v>0.4</v>
      </c>
      <c r="I7">
        <v>0.44</v>
      </c>
      <c r="J7">
        <v>0.48</v>
      </c>
      <c r="K7">
        <v>0.52</v>
      </c>
      <c r="L7">
        <v>0.56000000000000005</v>
      </c>
      <c r="M7">
        <v>0.60000000000000009</v>
      </c>
      <c r="N7" s="4">
        <f t="shared" si="0"/>
        <v>0</v>
      </c>
      <c r="O7">
        <v>0.64</v>
      </c>
      <c r="P7">
        <v>0.68</v>
      </c>
      <c r="Q7">
        <v>0.72</v>
      </c>
      <c r="R7">
        <v>0.76</v>
      </c>
      <c r="S7">
        <v>0.8</v>
      </c>
      <c r="T7">
        <v>-33.333333333333329</v>
      </c>
      <c r="U7">
        <v>-26.666666666666671</v>
      </c>
      <c r="V7">
        <v>-19.999999999999989</v>
      </c>
      <c r="W7">
        <v>-13.33333333333333</v>
      </c>
      <c r="X7">
        <v>-6.6666666666666536</v>
      </c>
      <c r="Y7">
        <v>1.8503717077085941E-14</v>
      </c>
      <c r="Z7">
        <v>6.6666666666666732</v>
      </c>
      <c r="AA7">
        <v>13.33333333333335</v>
      </c>
      <c r="AB7">
        <v>20</v>
      </c>
      <c r="AC7">
        <v>26.666666666666671</v>
      </c>
      <c r="AD7">
        <v>33.33333333333335</v>
      </c>
      <c r="AE7">
        <v>24.659867436392371</v>
      </c>
      <c r="AF7">
        <v>24.640236069663491</v>
      </c>
      <c r="AG7">
        <v>24.623876597389419</v>
      </c>
      <c r="AH7">
        <v>24.61003396700367</v>
      </c>
      <c r="AI7">
        <v>24.598168855244449</v>
      </c>
      <c r="AJ7" s="2">
        <v>24.587885758386459</v>
      </c>
      <c r="AK7" s="3">
        <f>AJ7/$AJ$9</f>
        <v>1</v>
      </c>
      <c r="AL7">
        <v>24.578888048635719</v>
      </c>
      <c r="AM7">
        <v>24.570948892973309</v>
      </c>
      <c r="AN7">
        <v>24.563891865717821</v>
      </c>
      <c r="AO7">
        <v>24.557577683436609</v>
      </c>
      <c r="AP7">
        <v>24.551894919383511</v>
      </c>
    </row>
    <row r="8" spans="1:42" x14ac:dyDescent="0.25">
      <c r="A8" t="s">
        <v>46</v>
      </c>
      <c r="B8">
        <v>47</v>
      </c>
      <c r="C8">
        <v>67</v>
      </c>
      <c r="D8">
        <v>87</v>
      </c>
      <c r="H8">
        <v>47</v>
      </c>
      <c r="I8">
        <v>51</v>
      </c>
      <c r="J8">
        <v>55</v>
      </c>
      <c r="K8">
        <v>59</v>
      </c>
      <c r="L8">
        <v>63</v>
      </c>
      <c r="M8">
        <v>67</v>
      </c>
      <c r="N8" s="4">
        <f t="shared" si="0"/>
        <v>0</v>
      </c>
      <c r="O8">
        <v>71</v>
      </c>
      <c r="P8">
        <v>75</v>
      </c>
      <c r="Q8">
        <v>79</v>
      </c>
      <c r="R8">
        <v>83</v>
      </c>
      <c r="S8">
        <v>87</v>
      </c>
      <c r="T8">
        <v>-29.85074626865671</v>
      </c>
      <c r="U8">
        <v>-23.880597014925371</v>
      </c>
      <c r="V8">
        <v>-17.910447761194028</v>
      </c>
      <c r="W8">
        <v>-11.940298507462691</v>
      </c>
      <c r="X8">
        <v>-5.9701492537313428</v>
      </c>
      <c r="Y8">
        <v>0</v>
      </c>
      <c r="Z8">
        <v>5.9701492537313428</v>
      </c>
      <c r="AA8">
        <v>11.940298507462691</v>
      </c>
      <c r="AB8">
        <v>17.910447761194028</v>
      </c>
      <c r="AC8">
        <v>23.880597014925371</v>
      </c>
      <c r="AD8">
        <v>29.85074626865671</v>
      </c>
      <c r="AE8">
        <v>24.564367106001509</v>
      </c>
      <c r="AF8">
        <v>24.569131316632269</v>
      </c>
      <c r="AG8">
        <v>24.57386337589725</v>
      </c>
      <c r="AH8">
        <v>24.578565320855919</v>
      </c>
      <c r="AI8">
        <v>24.58323892722111</v>
      </c>
      <c r="AJ8" s="2">
        <v>24.587885758386459</v>
      </c>
      <c r="AK8" s="3">
        <f>AJ8/$AJ$9</f>
        <v>1</v>
      </c>
      <c r="AL8">
        <v>24.592507202745271</v>
      </c>
      <c r="AM8">
        <v>24.597104502625761</v>
      </c>
      <c r="AN8">
        <v>24.601678777076469</v>
      </c>
      <c r="AO8">
        <v>24.606231040070529</v>
      </c>
      <c r="AP8">
        <v>24.610762215227609</v>
      </c>
    </row>
    <row r="9" spans="1:42" x14ac:dyDescent="0.25">
      <c r="A9" t="s">
        <v>47</v>
      </c>
      <c r="B9">
        <v>0.5</v>
      </c>
      <c r="C9">
        <v>2.5</v>
      </c>
      <c r="D9">
        <v>4.5</v>
      </c>
      <c r="H9">
        <v>0.5</v>
      </c>
      <c r="I9">
        <v>0.9</v>
      </c>
      <c r="J9">
        <v>1.3</v>
      </c>
      <c r="K9">
        <v>1.7</v>
      </c>
      <c r="L9">
        <v>2.1</v>
      </c>
      <c r="M9">
        <v>2.5</v>
      </c>
      <c r="N9" s="4">
        <f t="shared" si="0"/>
        <v>0</v>
      </c>
      <c r="O9">
        <v>2.9</v>
      </c>
      <c r="P9">
        <v>3.3</v>
      </c>
      <c r="Q9">
        <v>3.7</v>
      </c>
      <c r="R9">
        <v>4.0999999999999996</v>
      </c>
      <c r="S9">
        <v>4.5</v>
      </c>
      <c r="T9">
        <v>-80</v>
      </c>
      <c r="U9">
        <v>-64</v>
      </c>
      <c r="V9">
        <v>-48</v>
      </c>
      <c r="W9">
        <v>-32</v>
      </c>
      <c r="X9">
        <v>-16</v>
      </c>
      <c r="Y9">
        <v>0</v>
      </c>
      <c r="Z9">
        <v>16.000000000000011</v>
      </c>
      <c r="AA9">
        <v>32.000000000000007</v>
      </c>
      <c r="AB9">
        <v>48.000000000000007</v>
      </c>
      <c r="AC9">
        <v>63.999999999999993</v>
      </c>
      <c r="AD9">
        <v>80</v>
      </c>
      <c r="AE9">
        <v>21.32068003376104</v>
      </c>
      <c r="AF9">
        <v>22.17665669413379</v>
      </c>
      <c r="AG9">
        <v>22.909646037057541</v>
      </c>
      <c r="AH9">
        <v>23.545846944424291</v>
      </c>
      <c r="AI9">
        <v>24.101348368847749</v>
      </c>
      <c r="AJ9" s="2">
        <v>24.587885758386459</v>
      </c>
      <c r="AK9" s="3">
        <f>AJ9/$AJ$9</f>
        <v>1</v>
      </c>
      <c r="AL9">
        <v>25.014822791365471</v>
      </c>
      <c r="AM9">
        <v>25.39001030910681</v>
      </c>
      <c r="AN9">
        <v>25.720219215296002</v>
      </c>
      <c r="AO9">
        <v>26.01138427970718</v>
      </c>
      <c r="AP9">
        <v>26.268754165565468</v>
      </c>
    </row>
    <row r="10" spans="1:42" x14ac:dyDescent="0.25">
      <c r="A10" t="s">
        <v>48</v>
      </c>
      <c r="B10">
        <v>0.02</v>
      </c>
      <c r="C10">
        <v>0.06</v>
      </c>
      <c r="D10">
        <v>0.1</v>
      </c>
      <c r="H10">
        <v>0.02</v>
      </c>
      <c r="I10">
        <v>2.8000000000000001E-2</v>
      </c>
      <c r="J10">
        <v>3.5999999999999997E-2</v>
      </c>
      <c r="K10">
        <v>4.3999999999999997E-2</v>
      </c>
      <c r="L10">
        <v>5.1999999999999998E-2</v>
      </c>
      <c r="M10">
        <v>0.06</v>
      </c>
      <c r="N10" s="4">
        <f t="shared" si="0"/>
        <v>0</v>
      </c>
      <c r="O10">
        <v>6.8000000000000005E-2</v>
      </c>
      <c r="P10">
        <v>7.5999999999999998E-2</v>
      </c>
      <c r="Q10">
        <v>8.4000000000000005E-2</v>
      </c>
      <c r="R10">
        <v>9.2000000000000012E-2</v>
      </c>
      <c r="S10">
        <v>0.1</v>
      </c>
      <c r="T10">
        <v>-66.666666666666657</v>
      </c>
      <c r="U10">
        <v>-53.333333333333343</v>
      </c>
      <c r="V10">
        <v>-39.999999999999993</v>
      </c>
      <c r="W10">
        <v>-26.666666666666671</v>
      </c>
      <c r="X10">
        <v>-13.33333333333332</v>
      </c>
      <c r="Y10">
        <v>0</v>
      </c>
      <c r="Z10">
        <v>13.33333333333335</v>
      </c>
      <c r="AA10">
        <v>26.666666666666671</v>
      </c>
      <c r="AB10">
        <v>40.000000000000007</v>
      </c>
      <c r="AC10">
        <v>53.333333333333357</v>
      </c>
      <c r="AD10">
        <v>66.666666666666686</v>
      </c>
      <c r="AE10">
        <v>23.694452435255371</v>
      </c>
      <c r="AF10">
        <v>23.8674197955919</v>
      </c>
      <c r="AG10">
        <v>24.04324645336682</v>
      </c>
      <c r="AH10">
        <v>24.22193179951223</v>
      </c>
      <c r="AI10">
        <v>24.403477201655171</v>
      </c>
      <c r="AJ10" s="2">
        <v>24.587885758386459</v>
      </c>
      <c r="AK10" s="3">
        <f>AJ10/$AJ$9</f>
        <v>1</v>
      </c>
      <c r="AL10">
        <v>24.775162089514239</v>
      </c>
      <c r="AM10">
        <v>24.965312156273569</v>
      </c>
      <c r="AN10">
        <v>25.15834310659482</v>
      </c>
      <c r="AO10">
        <v>25.354263141430462</v>
      </c>
      <c r="AP10">
        <v>25.553081398856349</v>
      </c>
    </row>
    <row r="11" spans="1:42" x14ac:dyDescent="0.25">
      <c r="A11" t="s">
        <v>49</v>
      </c>
      <c r="B11">
        <v>0.02</v>
      </c>
      <c r="C11">
        <v>0.06</v>
      </c>
      <c r="D11">
        <v>0.1</v>
      </c>
      <c r="H11">
        <v>0.02</v>
      </c>
      <c r="I11">
        <v>2.8000000000000001E-2</v>
      </c>
      <c r="J11">
        <v>3.5999999999999997E-2</v>
      </c>
      <c r="K11">
        <v>4.3999999999999997E-2</v>
      </c>
      <c r="L11">
        <v>5.1999999999999998E-2</v>
      </c>
      <c r="M11">
        <v>0.06</v>
      </c>
      <c r="N11" s="4">
        <f t="shared" si="0"/>
        <v>0</v>
      </c>
      <c r="O11">
        <v>6.8000000000000005E-2</v>
      </c>
      <c r="P11">
        <v>7.5999999999999998E-2</v>
      </c>
      <c r="Q11">
        <v>8.4000000000000005E-2</v>
      </c>
      <c r="R11">
        <v>9.2000000000000012E-2</v>
      </c>
      <c r="S11">
        <v>0.1</v>
      </c>
      <c r="T11">
        <v>-66.666666666666657</v>
      </c>
      <c r="U11">
        <v>-53.333333333333343</v>
      </c>
      <c r="V11">
        <v>-39.999999999999993</v>
      </c>
      <c r="W11">
        <v>-26.666666666666671</v>
      </c>
      <c r="X11">
        <v>-13.33333333333332</v>
      </c>
      <c r="Y11">
        <v>0</v>
      </c>
      <c r="Z11">
        <v>13.33333333333335</v>
      </c>
      <c r="AA11">
        <v>26.666666666666671</v>
      </c>
      <c r="AB11">
        <v>40.000000000000007</v>
      </c>
      <c r="AC11">
        <v>53.333333333333357</v>
      </c>
      <c r="AD11">
        <v>66.666666666666686</v>
      </c>
      <c r="AE11">
        <v>24.744909457048461</v>
      </c>
      <c r="AF11">
        <v>24.69212135024749</v>
      </c>
      <c r="AG11">
        <v>24.654259292647971</v>
      </c>
      <c r="AH11">
        <v>24.626084585844659</v>
      </c>
      <c r="AI11">
        <v>24.604581561530569</v>
      </c>
      <c r="AJ11" s="2">
        <v>24.587885758386459</v>
      </c>
      <c r="AK11" s="3">
        <f>AJ11/$AJ$9</f>
        <v>1</v>
      </c>
      <c r="AL11">
        <v>24.574779699515791</v>
      </c>
      <c r="AM11">
        <v>24.564433238290778</v>
      </c>
      <c r="AN11">
        <v>24.556260097841282</v>
      </c>
      <c r="AO11">
        <v>24.549834002890581</v>
      </c>
      <c r="AP11">
        <v>24.544837320856651</v>
      </c>
    </row>
    <row r="12" spans="1:42" x14ac:dyDescent="0.25">
      <c r="A12" t="s">
        <v>50</v>
      </c>
      <c r="B12">
        <v>100</v>
      </c>
      <c r="C12">
        <v>200</v>
      </c>
      <c r="D12">
        <v>300</v>
      </c>
      <c r="H12">
        <v>100</v>
      </c>
      <c r="I12">
        <v>120</v>
      </c>
      <c r="J12">
        <v>140</v>
      </c>
      <c r="K12">
        <v>160</v>
      </c>
      <c r="L12">
        <v>180</v>
      </c>
      <c r="M12">
        <v>200</v>
      </c>
      <c r="N12" s="4">
        <f t="shared" si="0"/>
        <v>0</v>
      </c>
      <c r="O12">
        <v>220</v>
      </c>
      <c r="P12">
        <v>240</v>
      </c>
      <c r="Q12">
        <v>260</v>
      </c>
      <c r="R12">
        <v>280</v>
      </c>
      <c r="S12">
        <v>300</v>
      </c>
      <c r="T12">
        <v>-50</v>
      </c>
      <c r="U12">
        <v>-40</v>
      </c>
      <c r="V12">
        <v>-30</v>
      </c>
      <c r="W12">
        <v>-20</v>
      </c>
      <c r="X12">
        <v>-10</v>
      </c>
      <c r="Y12">
        <v>0</v>
      </c>
      <c r="Z12">
        <v>10</v>
      </c>
      <c r="AA12">
        <v>20</v>
      </c>
      <c r="AB12">
        <v>30</v>
      </c>
      <c r="AC12">
        <v>40</v>
      </c>
      <c r="AD12">
        <v>50</v>
      </c>
      <c r="AE12">
        <v>23.899045831796759</v>
      </c>
      <c r="AF12">
        <v>24.036813817114709</v>
      </c>
      <c r="AG12">
        <v>24.174581802432641</v>
      </c>
      <c r="AH12">
        <v>24.312349787750581</v>
      </c>
      <c r="AI12">
        <v>24.45011777306852</v>
      </c>
      <c r="AJ12" s="2">
        <v>24.587885758386459</v>
      </c>
      <c r="AK12" s="3">
        <f>AJ12/$AJ$9</f>
        <v>1</v>
      </c>
      <c r="AL12">
        <v>24.725653743704409</v>
      </c>
      <c r="AM12">
        <v>24.863421729022338</v>
      </c>
      <c r="AN12">
        <v>25.001189714340281</v>
      </c>
      <c r="AO12">
        <v>25.138957699658221</v>
      </c>
      <c r="AP12">
        <v>25.27672568497616</v>
      </c>
    </row>
    <row r="13" spans="1:42" x14ac:dyDescent="0.25">
      <c r="A13" t="s">
        <v>51</v>
      </c>
      <c r="B13">
        <v>3</v>
      </c>
      <c r="C13">
        <v>5</v>
      </c>
      <c r="D13">
        <v>7</v>
      </c>
      <c r="H13">
        <v>3</v>
      </c>
      <c r="I13">
        <v>3.4</v>
      </c>
      <c r="J13">
        <v>3.8</v>
      </c>
      <c r="K13">
        <v>4.2</v>
      </c>
      <c r="L13">
        <v>4.5999999999999996</v>
      </c>
      <c r="M13">
        <v>5</v>
      </c>
      <c r="N13" s="4">
        <f t="shared" si="0"/>
        <v>0</v>
      </c>
      <c r="O13">
        <v>5.4</v>
      </c>
      <c r="P13">
        <v>5.8000000000000007</v>
      </c>
      <c r="Q13">
        <v>6.2</v>
      </c>
      <c r="R13">
        <v>6.6</v>
      </c>
      <c r="S13">
        <v>7</v>
      </c>
      <c r="T13">
        <v>-40</v>
      </c>
      <c r="U13">
        <v>-32</v>
      </c>
      <c r="V13">
        <v>-24</v>
      </c>
      <c r="W13">
        <v>-16</v>
      </c>
      <c r="X13">
        <v>-8.0000000000000071</v>
      </c>
      <c r="Y13">
        <v>0</v>
      </c>
      <c r="Z13">
        <v>8.0000000000000071</v>
      </c>
      <c r="AA13">
        <v>16.000000000000011</v>
      </c>
      <c r="AB13">
        <v>24</v>
      </c>
      <c r="AC13">
        <v>32</v>
      </c>
      <c r="AD13">
        <v>40</v>
      </c>
      <c r="AE13">
        <v>24.68596181968892</v>
      </c>
      <c r="AF13">
        <v>24.644610044574989</v>
      </c>
      <c r="AG13">
        <v>24.607695065657939</v>
      </c>
      <c r="AH13">
        <v>24.613155847045359</v>
      </c>
      <c r="AI13">
        <v>24.57975128193749</v>
      </c>
      <c r="AJ13" s="2">
        <v>24.587885758386459</v>
      </c>
      <c r="AK13" s="3">
        <f>AJ13/$AJ$9</f>
        <v>1</v>
      </c>
      <c r="AL13">
        <v>24.557387094140541</v>
      </c>
      <c r="AM13">
        <v>24.529298055511099</v>
      </c>
      <c r="AN13">
        <v>24.539355343927149</v>
      </c>
      <c r="AO13">
        <v>24.513327950426351</v>
      </c>
      <c r="AP13">
        <v>24.524776806471021</v>
      </c>
    </row>
    <row r="14" spans="1:42" x14ac:dyDescent="0.25">
      <c r="A14" t="s">
        <v>52</v>
      </c>
      <c r="B14">
        <v>623</v>
      </c>
      <c r="C14">
        <v>723</v>
      </c>
      <c r="D14">
        <v>823</v>
      </c>
      <c r="H14">
        <v>623</v>
      </c>
      <c r="I14">
        <v>643</v>
      </c>
      <c r="J14">
        <v>663</v>
      </c>
      <c r="K14">
        <v>683</v>
      </c>
      <c r="L14">
        <v>703</v>
      </c>
      <c r="M14">
        <v>723</v>
      </c>
      <c r="N14" s="4">
        <f t="shared" si="0"/>
        <v>0</v>
      </c>
      <c r="O14">
        <v>743</v>
      </c>
      <c r="P14">
        <v>763</v>
      </c>
      <c r="Q14">
        <v>783</v>
      </c>
      <c r="R14">
        <v>803</v>
      </c>
      <c r="S14">
        <v>823</v>
      </c>
      <c r="T14">
        <v>-13.83125864453665</v>
      </c>
      <c r="U14">
        <v>-11.06500691562932</v>
      </c>
      <c r="V14">
        <v>-8.2987551867219906</v>
      </c>
      <c r="W14">
        <v>-5.532503457814661</v>
      </c>
      <c r="X14">
        <v>-2.766251728907331</v>
      </c>
      <c r="Y14">
        <v>0</v>
      </c>
      <c r="Z14">
        <v>2.766251728907331</v>
      </c>
      <c r="AA14">
        <v>5.532503457814661</v>
      </c>
      <c r="AB14">
        <v>8.2987551867219906</v>
      </c>
      <c r="AC14">
        <v>11.06500691562932</v>
      </c>
      <c r="AD14">
        <v>13.83125864453665</v>
      </c>
      <c r="AE14">
        <v>25.39384513338646</v>
      </c>
      <c r="AF14">
        <v>25.23265325838646</v>
      </c>
      <c r="AG14">
        <v>25.07146138338646</v>
      </c>
      <c r="AH14">
        <v>24.91026950838646</v>
      </c>
      <c r="AI14">
        <v>24.749077633386459</v>
      </c>
      <c r="AJ14" s="2">
        <v>24.587885758386459</v>
      </c>
      <c r="AK14" s="3">
        <f>AJ14/$AJ$9</f>
        <v>1</v>
      </c>
      <c r="AL14">
        <v>24.426693883386459</v>
      </c>
      <c r="AM14">
        <v>24.265502008386459</v>
      </c>
      <c r="AN14">
        <v>24.104310133386459</v>
      </c>
      <c r="AO14">
        <v>23.943118258386459</v>
      </c>
      <c r="AP14">
        <v>23.78192638338647</v>
      </c>
    </row>
    <row r="15" spans="1:42" x14ac:dyDescent="0.25">
      <c r="A15" t="s">
        <v>53</v>
      </c>
      <c r="B15">
        <v>173</v>
      </c>
      <c r="C15">
        <v>273</v>
      </c>
      <c r="D15">
        <v>373</v>
      </c>
      <c r="H15">
        <v>173</v>
      </c>
      <c r="I15">
        <v>193</v>
      </c>
      <c r="J15">
        <v>213</v>
      </c>
      <c r="K15">
        <v>233</v>
      </c>
      <c r="L15">
        <v>253</v>
      </c>
      <c r="M15">
        <v>273</v>
      </c>
      <c r="N15" s="4">
        <f t="shared" si="0"/>
        <v>0</v>
      </c>
      <c r="O15">
        <v>293</v>
      </c>
      <c r="P15">
        <v>313</v>
      </c>
      <c r="Q15">
        <v>333</v>
      </c>
      <c r="R15">
        <v>353</v>
      </c>
      <c r="S15">
        <v>373</v>
      </c>
      <c r="T15">
        <v>-36.630036630036628</v>
      </c>
      <c r="U15">
        <v>-29.30402930402931</v>
      </c>
      <c r="V15">
        <v>-21.978021978021982</v>
      </c>
      <c r="W15">
        <v>-14.65201465201465</v>
      </c>
      <c r="X15">
        <v>-7.3260073260073266</v>
      </c>
      <c r="Y15">
        <v>0</v>
      </c>
      <c r="Z15">
        <v>7.3260073260073266</v>
      </c>
      <c r="AA15">
        <v>14.65201465201465</v>
      </c>
      <c r="AB15">
        <v>21.978021978021982</v>
      </c>
      <c r="AC15">
        <v>29.30402930402931</v>
      </c>
      <c r="AD15">
        <v>36.630036630036628</v>
      </c>
      <c r="AE15">
        <v>25.153488839559841</v>
      </c>
      <c r="AF15">
        <v>25.052119346656148</v>
      </c>
      <c r="AG15">
        <v>24.944284768700289</v>
      </c>
      <c r="AH15">
        <v>24.8306022447956</v>
      </c>
      <c r="AI15">
        <v>24.711632903912889</v>
      </c>
      <c r="AJ15" s="2">
        <v>24.587885758386459</v>
      </c>
      <c r="AK15" s="3">
        <f>AJ15/$AJ$9</f>
        <v>1</v>
      </c>
      <c r="AL15">
        <v>24.459821444779099</v>
      </c>
      <c r="AM15">
        <v>24.32785581211585</v>
      </c>
      <c r="AN15">
        <v>24.192363357486698</v>
      </c>
      <c r="AO15">
        <v>24.053680509018051</v>
      </c>
      <c r="AP15">
        <v>23.912108756213069</v>
      </c>
    </row>
    <row r="16" spans="1:42" x14ac:dyDescent="0.25">
      <c r="A16" t="s">
        <v>54</v>
      </c>
      <c r="B16">
        <v>0.5</v>
      </c>
      <c r="C16">
        <v>0.6</v>
      </c>
      <c r="D16">
        <v>0.7</v>
      </c>
      <c r="H16">
        <v>0.5</v>
      </c>
      <c r="I16">
        <v>0.52</v>
      </c>
      <c r="J16">
        <v>0.54</v>
      </c>
      <c r="K16">
        <v>0.55999999999999994</v>
      </c>
      <c r="L16">
        <v>0.57999999999999996</v>
      </c>
      <c r="M16">
        <v>0.6</v>
      </c>
      <c r="N16" s="4">
        <f t="shared" si="0"/>
        <v>0</v>
      </c>
      <c r="O16">
        <v>0.62</v>
      </c>
      <c r="P16">
        <v>0.64</v>
      </c>
      <c r="Q16">
        <v>0.65999999999999992</v>
      </c>
      <c r="R16">
        <v>0.67999999999999994</v>
      </c>
      <c r="S16">
        <v>0.7</v>
      </c>
      <c r="T16">
        <v>-16.666666666666661</v>
      </c>
      <c r="U16">
        <v>-13.33333333333333</v>
      </c>
      <c r="V16">
        <v>-9.9999999999999911</v>
      </c>
      <c r="W16">
        <v>-6.6666666666666732</v>
      </c>
      <c r="X16">
        <v>-3.333333333333337</v>
      </c>
      <c r="Y16">
        <v>0</v>
      </c>
      <c r="Z16">
        <v>3.333333333333337</v>
      </c>
      <c r="AA16">
        <v>6.6666666666666732</v>
      </c>
      <c r="AB16">
        <v>9.9999999999999911</v>
      </c>
      <c r="AC16">
        <v>13.33333333333333</v>
      </c>
      <c r="AD16">
        <v>16.666666666666661</v>
      </c>
      <c r="AE16">
        <v>26.446499990596202</v>
      </c>
      <c r="AF16">
        <v>26.017589013932419</v>
      </c>
      <c r="AG16">
        <v>25.620449220725209</v>
      </c>
      <c r="AH16">
        <v>25.251676555604231</v>
      </c>
      <c r="AI16">
        <v>24.908336488077801</v>
      </c>
      <c r="AJ16" s="2">
        <v>24.587885758386459</v>
      </c>
      <c r="AK16" s="3">
        <f>AJ16/$AJ$9</f>
        <v>1</v>
      </c>
      <c r="AL16">
        <v>24.28810926932038</v>
      </c>
      <c r="AM16">
        <v>24.007068810820918</v>
      </c>
      <c r="AN16">
        <v>23.74306110738204</v>
      </c>
      <c r="AO16">
        <v>23.494583268851329</v>
      </c>
      <c r="AP16">
        <v>23.260304163950941</v>
      </c>
    </row>
    <row r="17" spans="1:42" x14ac:dyDescent="0.25">
      <c r="A17" t="s">
        <v>55</v>
      </c>
      <c r="B17">
        <v>0.15</v>
      </c>
      <c r="C17">
        <v>0.2</v>
      </c>
      <c r="D17">
        <v>0.25</v>
      </c>
      <c r="H17">
        <v>0.15</v>
      </c>
      <c r="I17">
        <v>0.16</v>
      </c>
      <c r="J17">
        <v>0.17</v>
      </c>
      <c r="K17">
        <v>0.18</v>
      </c>
      <c r="L17">
        <v>0.19</v>
      </c>
      <c r="M17">
        <v>0.2</v>
      </c>
      <c r="N17" s="4">
        <f t="shared" si="0"/>
        <v>0</v>
      </c>
      <c r="O17">
        <v>0.21</v>
      </c>
      <c r="P17">
        <v>0.22</v>
      </c>
      <c r="Q17">
        <v>0.23</v>
      </c>
      <c r="R17">
        <v>0.24</v>
      </c>
      <c r="S17">
        <v>0.25</v>
      </c>
      <c r="T17">
        <v>-25.000000000000011</v>
      </c>
      <c r="U17">
        <v>-20</v>
      </c>
      <c r="V17">
        <v>-15.000000000000011</v>
      </c>
      <c r="W17">
        <v>-10.000000000000011</v>
      </c>
      <c r="X17">
        <v>-5.0000000000000044</v>
      </c>
      <c r="Y17">
        <v>0</v>
      </c>
      <c r="Z17">
        <v>4.9999999999999902</v>
      </c>
      <c r="AA17">
        <v>9.9999999999999947</v>
      </c>
      <c r="AB17">
        <v>14.999999999999989</v>
      </c>
      <c r="AC17">
        <v>19.999999999999989</v>
      </c>
      <c r="AD17">
        <v>24.999999999999989</v>
      </c>
      <c r="AE17">
        <v>24.977469091719801</v>
      </c>
      <c r="AF17">
        <v>24.88007325838646</v>
      </c>
      <c r="AG17">
        <v>24.79413575838646</v>
      </c>
      <c r="AH17">
        <v>24.717746869497571</v>
      </c>
      <c r="AI17">
        <v>24.6493989162812</v>
      </c>
      <c r="AJ17" s="2">
        <v>24.587885758386459</v>
      </c>
      <c r="AK17" s="3">
        <f>AJ17/$AJ$9</f>
        <v>1</v>
      </c>
      <c r="AL17">
        <v>24.532230996481701</v>
      </c>
      <c r="AM17">
        <v>24.48163575838646</v>
      </c>
      <c r="AN17">
        <v>24.43544010621255</v>
      </c>
      <c r="AO17">
        <v>24.393094091719799</v>
      </c>
      <c r="AP17">
        <v>24.354135758386459</v>
      </c>
    </row>
    <row r="18" spans="1:42" x14ac:dyDescent="0.25">
      <c r="A18" t="s">
        <v>56</v>
      </c>
      <c r="B18">
        <v>183</v>
      </c>
      <c r="C18">
        <v>233</v>
      </c>
      <c r="D18">
        <v>283</v>
      </c>
      <c r="H18">
        <v>183</v>
      </c>
      <c r="I18">
        <v>193</v>
      </c>
      <c r="J18">
        <v>203</v>
      </c>
      <c r="K18">
        <v>213</v>
      </c>
      <c r="L18">
        <v>223</v>
      </c>
      <c r="M18">
        <v>233</v>
      </c>
      <c r="N18" s="4">
        <f t="shared" si="0"/>
        <v>0</v>
      </c>
      <c r="O18">
        <v>243</v>
      </c>
      <c r="P18">
        <v>253</v>
      </c>
      <c r="Q18">
        <v>263</v>
      </c>
      <c r="R18">
        <v>273</v>
      </c>
      <c r="S18">
        <v>283</v>
      </c>
      <c r="T18">
        <v>-21.459227467811161</v>
      </c>
      <c r="U18">
        <v>-17.167381974248929</v>
      </c>
      <c r="V18">
        <v>-12.875536480686691</v>
      </c>
      <c r="W18">
        <v>-8.5836909871244629</v>
      </c>
      <c r="X18">
        <v>-4.2918454935622314</v>
      </c>
      <c r="Y18">
        <v>0</v>
      </c>
      <c r="Z18">
        <v>4.2918454935622314</v>
      </c>
      <c r="AA18">
        <v>8.5836909871244629</v>
      </c>
      <c r="AB18">
        <v>12.875536480686691</v>
      </c>
      <c r="AC18">
        <v>17.167381974248929</v>
      </c>
      <c r="AD18">
        <v>21.459227467811161</v>
      </c>
      <c r="AE18">
        <v>24.20594131394202</v>
      </c>
      <c r="AF18">
        <v>24.282330202830909</v>
      </c>
      <c r="AG18">
        <v>24.358719091719799</v>
      </c>
      <c r="AH18">
        <v>24.435107980608681</v>
      </c>
      <c r="AI18">
        <v>24.511496869497581</v>
      </c>
      <c r="AJ18" s="2">
        <v>24.587885758386459</v>
      </c>
      <c r="AK18" s="3">
        <f>AJ18/$AJ$9</f>
        <v>1</v>
      </c>
      <c r="AL18">
        <v>24.664274647275359</v>
      </c>
      <c r="AM18">
        <v>24.740663536164242</v>
      </c>
      <c r="AN18">
        <v>24.817052425053131</v>
      </c>
      <c r="AO18">
        <v>24.89344131394202</v>
      </c>
      <c r="AP18">
        <v>24.969830202830909</v>
      </c>
    </row>
    <row r="19" spans="1:42" x14ac:dyDescent="0.25">
      <c r="A19" t="s">
        <v>57</v>
      </c>
      <c r="B19">
        <v>330</v>
      </c>
      <c r="C19">
        <v>340</v>
      </c>
      <c r="D19">
        <v>350</v>
      </c>
      <c r="H19">
        <v>330</v>
      </c>
      <c r="I19">
        <v>332</v>
      </c>
      <c r="J19">
        <v>334</v>
      </c>
      <c r="K19">
        <v>336</v>
      </c>
      <c r="L19">
        <v>338</v>
      </c>
      <c r="M19">
        <v>340</v>
      </c>
      <c r="N19" s="4">
        <f t="shared" si="0"/>
        <v>0</v>
      </c>
      <c r="O19">
        <v>342</v>
      </c>
      <c r="P19">
        <v>344</v>
      </c>
      <c r="Q19">
        <v>346</v>
      </c>
      <c r="R19">
        <v>348</v>
      </c>
      <c r="S19">
        <v>350</v>
      </c>
      <c r="T19">
        <v>-2.9411764705882351</v>
      </c>
      <c r="U19">
        <v>-2.3529411764705879</v>
      </c>
      <c r="V19">
        <v>-1.7647058823529409</v>
      </c>
      <c r="W19">
        <v>-1.1764705882352939</v>
      </c>
      <c r="X19">
        <v>-0.58823529411764708</v>
      </c>
      <c r="Y19">
        <v>0</v>
      </c>
      <c r="Z19">
        <v>0.58823529411764708</v>
      </c>
      <c r="AA19">
        <v>1.1764705882352939</v>
      </c>
      <c r="AB19">
        <v>1.7647058823529409</v>
      </c>
      <c r="AC19">
        <v>2.3529411764705879</v>
      </c>
      <c r="AD19">
        <v>2.9411764705882351</v>
      </c>
      <c r="AE19">
        <v>24.56371388338647</v>
      </c>
      <c r="AF19">
        <v>24.568548258386461</v>
      </c>
      <c r="AG19">
        <v>24.573382633386458</v>
      </c>
      <c r="AH19">
        <v>24.578217008386471</v>
      </c>
      <c r="AI19">
        <v>24.583051383386469</v>
      </c>
      <c r="AJ19" s="2">
        <v>24.587885758386459</v>
      </c>
      <c r="AK19" s="3">
        <f>AJ19/$AJ$9</f>
        <v>1</v>
      </c>
      <c r="AL19">
        <v>24.592720133386461</v>
      </c>
      <c r="AM19">
        <v>24.59755450838647</v>
      </c>
      <c r="AN19">
        <v>24.60238888338646</v>
      </c>
      <c r="AO19">
        <v>24.607223258386469</v>
      </c>
      <c r="AP19">
        <v>24.61205763338646</v>
      </c>
    </row>
    <row r="20" spans="1:42" x14ac:dyDescent="0.25">
      <c r="A20" t="s">
        <v>58</v>
      </c>
      <c r="B20">
        <v>1.4999999999999999E-2</v>
      </c>
      <c r="C20">
        <v>2.5000000000000001E-2</v>
      </c>
      <c r="D20">
        <v>3.5000000000000003E-2</v>
      </c>
      <c r="H20">
        <v>1.4999999999999999E-2</v>
      </c>
      <c r="I20">
        <v>1.7000000000000001E-2</v>
      </c>
      <c r="J20">
        <v>1.9E-2</v>
      </c>
      <c r="K20">
        <v>2.1000000000000001E-2</v>
      </c>
      <c r="L20">
        <v>2.3E-2</v>
      </c>
      <c r="M20">
        <v>2.5000000000000001E-2</v>
      </c>
      <c r="N20" s="4">
        <f t="shared" si="0"/>
        <v>0</v>
      </c>
      <c r="O20">
        <v>2.7E-2</v>
      </c>
      <c r="P20">
        <v>2.9000000000000001E-2</v>
      </c>
      <c r="Q20">
        <v>3.1E-2</v>
      </c>
      <c r="R20">
        <v>3.3000000000000002E-2</v>
      </c>
      <c r="S20">
        <v>3.5000000000000003E-2</v>
      </c>
      <c r="T20">
        <v>-40.000000000000007</v>
      </c>
      <c r="U20">
        <v>-32</v>
      </c>
      <c r="V20">
        <v>-24.000000000000011</v>
      </c>
      <c r="W20">
        <v>-16</v>
      </c>
      <c r="X20">
        <v>-8.0000000000000071</v>
      </c>
      <c r="Y20">
        <v>0</v>
      </c>
      <c r="Z20">
        <v>8.0000000000000071</v>
      </c>
      <c r="AA20">
        <v>16.000000000000011</v>
      </c>
      <c r="AB20">
        <v>24.000000000000011</v>
      </c>
      <c r="AC20">
        <v>32</v>
      </c>
      <c r="AD20">
        <v>40.000000000000007</v>
      </c>
      <c r="AE20">
        <v>24.81555297242064</v>
      </c>
      <c r="AF20">
        <v>24.760798927168771</v>
      </c>
      <c r="AG20">
        <v>24.710793595271141</v>
      </c>
      <c r="AH20">
        <v>24.665524864249779</v>
      </c>
      <c r="AI20">
        <v>24.624693197410981</v>
      </c>
      <c r="AJ20" s="2">
        <v>24.587885758386459</v>
      </c>
      <c r="AK20" s="3">
        <f>AJ20/$AJ$9</f>
        <v>1</v>
      </c>
      <c r="AL20">
        <v>24.55466677647728</v>
      </c>
      <c r="AM20">
        <v>24.52462055654318</v>
      </c>
      <c r="AN20">
        <v>24.497369352785739</v>
      </c>
      <c r="AO20">
        <v>24.472578523010458</v>
      </c>
      <c r="AP20">
        <v>24.449955602384339</v>
      </c>
    </row>
    <row r="21" spans="1:42" x14ac:dyDescent="0.25">
      <c r="A21" t="s">
        <v>59</v>
      </c>
      <c r="B21">
        <v>4.0000000000000001E-3</v>
      </c>
      <c r="C21">
        <v>6.0000000000000001E-3</v>
      </c>
      <c r="D21">
        <v>8.0000000000000002E-3</v>
      </c>
      <c r="H21">
        <v>4.0000000000000001E-3</v>
      </c>
      <c r="I21">
        <v>4.4000000000000003E-3</v>
      </c>
      <c r="J21">
        <v>4.7999999999999996E-3</v>
      </c>
      <c r="K21">
        <v>5.1999999999999998E-3</v>
      </c>
      <c r="L21">
        <v>5.5999999999999999E-3</v>
      </c>
      <c r="M21">
        <v>6.0000000000000001E-3</v>
      </c>
      <c r="N21" s="4">
        <f t="shared" si="0"/>
        <v>0</v>
      </c>
      <c r="O21">
        <v>6.4000000000000003E-3</v>
      </c>
      <c r="P21">
        <v>6.7999999999999996E-3</v>
      </c>
      <c r="Q21">
        <v>7.1999999999999998E-3</v>
      </c>
      <c r="R21">
        <v>7.6000000000000009E-3</v>
      </c>
      <c r="S21">
        <v>8.0000000000000002E-3</v>
      </c>
      <c r="T21">
        <v>-33.333333333333329</v>
      </c>
      <c r="U21">
        <v>-26.666666666666671</v>
      </c>
      <c r="V21">
        <v>-20</v>
      </c>
      <c r="W21">
        <v>-13.333333333333339</v>
      </c>
      <c r="X21">
        <v>-6.6666666666666696</v>
      </c>
      <c r="Y21">
        <v>0</v>
      </c>
      <c r="Z21">
        <v>6.6666666666666696</v>
      </c>
      <c r="AA21">
        <v>13.333333333333339</v>
      </c>
      <c r="AB21">
        <v>20</v>
      </c>
      <c r="AC21">
        <v>26.666666666666679</v>
      </c>
      <c r="AD21">
        <v>33.333333333333329</v>
      </c>
      <c r="AE21">
        <v>24.417283616433402</v>
      </c>
      <c r="AF21">
        <v>24.454350335182099</v>
      </c>
      <c r="AG21">
        <v>24.489923350075099</v>
      </c>
      <c r="AH21">
        <v>24.524021774360811</v>
      </c>
      <c r="AI21">
        <v>24.556667616607669</v>
      </c>
      <c r="AJ21" s="2">
        <v>24.587885758386459</v>
      </c>
      <c r="AK21" s="3">
        <f>AJ21/$AJ$9</f>
        <v>1</v>
      </c>
      <c r="AL21">
        <v>24.617703888006901</v>
      </c>
      <c r="AM21">
        <v>24.646152391843081</v>
      </c>
      <c r="AN21">
        <v>24.673264205318549</v>
      </c>
      <c r="AO21">
        <v>24.699074626462071</v>
      </c>
      <c r="AP21">
        <v>24.723621095900011</v>
      </c>
    </row>
    <row r="22" spans="1:42" x14ac:dyDescent="0.25">
      <c r="A22" t="s">
        <v>60</v>
      </c>
      <c r="B22">
        <v>0.03</v>
      </c>
      <c r="C22">
        <v>5.5E-2</v>
      </c>
      <c r="D22">
        <v>0.08</v>
      </c>
      <c r="H22">
        <v>0.03</v>
      </c>
      <c r="I22">
        <v>3.5000000000000003E-2</v>
      </c>
      <c r="J22">
        <v>0.04</v>
      </c>
      <c r="K22">
        <v>4.4999999999999998E-2</v>
      </c>
      <c r="L22">
        <v>0.05</v>
      </c>
      <c r="M22">
        <v>5.5E-2</v>
      </c>
      <c r="N22" s="4">
        <f t="shared" si="0"/>
        <v>0</v>
      </c>
      <c r="O22">
        <v>0.06</v>
      </c>
      <c r="P22">
        <v>6.5000000000000002E-2</v>
      </c>
      <c r="Q22">
        <v>7.0000000000000007E-2</v>
      </c>
      <c r="R22">
        <v>7.4999999999999997E-2</v>
      </c>
      <c r="S22">
        <v>0.08</v>
      </c>
      <c r="T22">
        <v>-45.45454545454546</v>
      </c>
      <c r="U22">
        <v>-36.363636363636367</v>
      </c>
      <c r="V22">
        <v>-27.27272727272727</v>
      </c>
      <c r="W22">
        <v>-18.18181818181818</v>
      </c>
      <c r="X22">
        <v>-9.0909090909090864</v>
      </c>
      <c r="Y22">
        <v>0</v>
      </c>
      <c r="Z22">
        <v>9.0909090909090864</v>
      </c>
      <c r="AA22">
        <v>18.18181818181818</v>
      </c>
      <c r="AB22">
        <v>27.27272727272728</v>
      </c>
      <c r="AC22">
        <v>36.36363636363636</v>
      </c>
      <c r="AD22">
        <v>45.45454545454546</v>
      </c>
      <c r="AE22">
        <v>24.661019205829739</v>
      </c>
      <c r="AF22">
        <v>24.639011348384351</v>
      </c>
      <c r="AG22">
        <v>24.619882589125901</v>
      </c>
      <c r="AH22">
        <v>24.602990890123099</v>
      </c>
      <c r="AI22">
        <v>24.587885758386459</v>
      </c>
      <c r="AJ22">
        <v>24.57423912128149</v>
      </c>
      <c r="AK22" s="3">
        <f>AJ22/$AJ$9</f>
        <v>0.99944498533793968</v>
      </c>
      <c r="AL22">
        <v>24.561804783636159</v>
      </c>
      <c r="AM22">
        <v>24.550393368516851</v>
      </c>
      <c r="AN22">
        <v>24.539856151003089</v>
      </c>
      <c r="AO22">
        <v>24.53007425056245</v>
      </c>
      <c r="AP22">
        <v>24.52095118448489</v>
      </c>
    </row>
    <row r="23" spans="1:42" x14ac:dyDescent="0.25">
      <c r="A23" t="s">
        <v>61</v>
      </c>
      <c r="B23">
        <v>0.15</v>
      </c>
      <c r="C23">
        <v>0.2</v>
      </c>
      <c r="D23">
        <v>0.25</v>
      </c>
      <c r="H23">
        <v>0.15</v>
      </c>
      <c r="I23">
        <v>0.16</v>
      </c>
      <c r="J23">
        <v>0.17</v>
      </c>
      <c r="K23">
        <v>0.18</v>
      </c>
      <c r="L23">
        <v>0.19</v>
      </c>
      <c r="M23">
        <v>0.2</v>
      </c>
      <c r="N23" s="4">
        <f t="shared" si="0"/>
        <v>0</v>
      </c>
      <c r="O23">
        <v>0.21</v>
      </c>
      <c r="P23">
        <v>0.22</v>
      </c>
      <c r="Q23">
        <v>0.23</v>
      </c>
      <c r="R23">
        <v>0.24</v>
      </c>
      <c r="S23">
        <v>0.25</v>
      </c>
      <c r="T23">
        <v>-25.000000000000011</v>
      </c>
      <c r="U23">
        <v>-20</v>
      </c>
      <c r="V23">
        <v>-15.000000000000011</v>
      </c>
      <c r="W23">
        <v>-10.000000000000011</v>
      </c>
      <c r="X23">
        <v>-5.0000000000000044</v>
      </c>
      <c r="Y23">
        <v>0</v>
      </c>
      <c r="Z23">
        <v>4.9999999999999902</v>
      </c>
      <c r="AA23">
        <v>9.9999999999999947</v>
      </c>
      <c r="AB23">
        <v>14.999999999999989</v>
      </c>
      <c r="AC23">
        <v>19.999999999999989</v>
      </c>
      <c r="AD23">
        <v>24.999999999999989</v>
      </c>
      <c r="AE23">
        <v>24.379271193300301</v>
      </c>
      <c r="AF23">
        <v>24.353194372664539</v>
      </c>
      <c r="AG23">
        <v>24.330185413280031</v>
      </c>
      <c r="AH23">
        <v>24.309733004938249</v>
      </c>
      <c r="AI23">
        <v>24.291433481685079</v>
      </c>
      <c r="AJ23">
        <v>24.274963910757229</v>
      </c>
      <c r="AK23" s="3">
        <f>AJ23/$AJ$9</f>
        <v>0.98727333245712279</v>
      </c>
      <c r="AL23">
        <v>24.260062870393931</v>
      </c>
      <c r="AM23">
        <v>24.246516470063661</v>
      </c>
      <c r="AN23">
        <v>24.2341480175882</v>
      </c>
      <c r="AO23">
        <v>24.222810269485691</v>
      </c>
      <c r="AP23">
        <v>24.212379541231378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Leger</cp:lastModifiedBy>
  <dcterms:created xsi:type="dcterms:W3CDTF">2024-04-03T20:29:52Z</dcterms:created>
  <dcterms:modified xsi:type="dcterms:W3CDTF">2024-04-03T20:35:51Z</dcterms:modified>
</cp:coreProperties>
</file>